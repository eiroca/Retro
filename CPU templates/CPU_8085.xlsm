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ublic\Retro computing\Retro\CPU templates\"/>
    </mc:Choice>
  </mc:AlternateContent>
  <xr:revisionPtr revIDLastSave="0" documentId="13_ncr:1_{F551AA1F-801C-4CEC-96C1-D2CBFB79CC5C}" xr6:coauthVersionLast="46" xr6:coauthVersionMax="46" xr10:uidLastSave="{00000000-0000-0000-0000-000000000000}"/>
  <bookViews>
    <workbookView xWindow="-120" yWindow="-120" windowWidth="25440" windowHeight="15390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OpCode!$A$1:$K$257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3" i="9" l="1"/>
  <c r="D251" i="9"/>
  <c r="D250" i="9"/>
  <c r="D245" i="9"/>
  <c r="D242" i="9"/>
  <c r="D239" i="9"/>
  <c r="D237" i="9"/>
  <c r="D235" i="9"/>
  <c r="D234" i="9"/>
  <c r="D229" i="9"/>
  <c r="D226" i="9"/>
  <c r="D219" i="9"/>
  <c r="D218" i="9"/>
  <c r="D210" i="9"/>
  <c r="D205" i="9"/>
  <c r="D203" i="9"/>
  <c r="D202" i="9"/>
  <c r="D194" i="9"/>
  <c r="D120" i="9"/>
  <c r="D65" i="9"/>
  <c r="D57" i="9"/>
  <c r="D50" i="9"/>
  <c r="D49" i="9"/>
  <c r="D41" i="9"/>
  <c r="D34" i="9"/>
  <c r="D33" i="9"/>
  <c r="D26" i="9"/>
  <c r="D25" i="9"/>
  <c r="D18" i="9"/>
  <c r="D17" i="9"/>
  <c r="D10" i="9"/>
  <c r="D9" i="9"/>
  <c r="D2" i="9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0" i="8"/>
  <c r="A55" i="8"/>
  <c r="A54" i="8"/>
  <c r="A53" i="8"/>
  <c r="A52" i="8"/>
  <c r="A51" i="8"/>
  <c r="A50" i="8"/>
  <c r="A49" i="8"/>
  <c r="A44" i="8"/>
  <c r="A43" i="8"/>
  <c r="A42" i="8"/>
  <c r="A41" i="8"/>
  <c r="A35" i="8"/>
  <c r="A34" i="8"/>
  <c r="A33" i="8"/>
  <c r="A32" i="8"/>
  <c r="A31" i="8"/>
  <c r="A30" i="8"/>
  <c r="A29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B14" i="7"/>
  <c r="B13" i="7"/>
  <c r="B12" i="7"/>
  <c r="B11" i="7"/>
  <c r="B10" i="7"/>
  <c r="B9" i="7"/>
  <c r="B8" i="7"/>
  <c r="D257" i="9"/>
  <c r="D249" i="9"/>
  <c r="D241" i="9"/>
  <c r="D233" i="9"/>
  <c r="D225" i="9"/>
  <c r="D221" i="9"/>
  <c r="D217" i="9"/>
  <c r="D213" i="9"/>
  <c r="D209" i="9"/>
  <c r="D201" i="9"/>
  <c r="D197" i="9"/>
  <c r="D193" i="9"/>
  <c r="D189" i="9"/>
  <c r="D185" i="9"/>
  <c r="D181" i="9"/>
  <c r="D177" i="9"/>
  <c r="D173" i="9"/>
  <c r="D169" i="9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1" i="9"/>
  <c r="D53" i="9"/>
  <c r="D45" i="9"/>
  <c r="D37" i="9"/>
  <c r="D29" i="9"/>
  <c r="D21" i="9"/>
  <c r="D13" i="9"/>
  <c r="D5" i="9"/>
  <c r="D223" i="9"/>
  <c r="D215" i="9"/>
  <c r="D211" i="9"/>
  <c r="D191" i="9"/>
  <c r="D183" i="9"/>
  <c r="D175" i="9"/>
  <c r="D167" i="9"/>
  <c r="D159" i="9"/>
  <c r="D151" i="9"/>
  <c r="D143" i="9"/>
  <c r="D135" i="9"/>
  <c r="D127" i="9"/>
  <c r="D119" i="9"/>
  <c r="D111" i="9"/>
  <c r="D103" i="9"/>
  <c r="D95" i="9"/>
  <c r="D87" i="9"/>
  <c r="D79" i="9"/>
  <c r="D71" i="9"/>
  <c r="D63" i="9"/>
  <c r="D55" i="9"/>
  <c r="D47" i="9"/>
  <c r="D39" i="9"/>
  <c r="D31" i="9"/>
  <c r="D23" i="9"/>
  <c r="D15" i="9"/>
  <c r="D7" i="9"/>
  <c r="D254" i="9"/>
  <c r="D246" i="9"/>
  <c r="D222" i="9"/>
  <c r="D190" i="9"/>
  <c r="D186" i="9"/>
  <c r="D178" i="9"/>
  <c r="D174" i="9"/>
  <c r="D166" i="9"/>
  <c r="D158" i="9"/>
  <c r="D150" i="9"/>
  <c r="D142" i="9"/>
  <c r="D134" i="9"/>
  <c r="D130" i="9"/>
  <c r="D122" i="9"/>
  <c r="D110" i="9"/>
  <c r="D102" i="9"/>
  <c r="D94" i="9"/>
  <c r="D86" i="9"/>
  <c r="D78" i="9"/>
  <c r="D70" i="9"/>
  <c r="D62" i="9"/>
  <c r="D54" i="9"/>
  <c r="D38" i="9"/>
  <c r="D30" i="9"/>
  <c r="D256" i="9"/>
  <c r="D252" i="9"/>
  <c r="D248" i="9"/>
  <c r="D244" i="9"/>
  <c r="D240" i="9"/>
  <c r="D236" i="9"/>
  <c r="D232" i="9"/>
  <c r="D228" i="9"/>
  <c r="D224" i="9"/>
  <c r="D220" i="9"/>
  <c r="D216" i="9"/>
  <c r="D212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8" i="9"/>
  <c r="D4" i="9"/>
  <c r="D255" i="9"/>
  <c r="D247" i="9"/>
  <c r="D243" i="9"/>
  <c r="D231" i="9"/>
  <c r="D227" i="9"/>
  <c r="D207" i="9"/>
  <c r="D199" i="9"/>
  <c r="D195" i="9"/>
  <c r="D187" i="9"/>
  <c r="D179" i="9"/>
  <c r="D171" i="9"/>
  <c r="D163" i="9"/>
  <c r="D155" i="9"/>
  <c r="D147" i="9"/>
  <c r="D139" i="9"/>
  <c r="D131" i="9"/>
  <c r="D123" i="9"/>
  <c r="D115" i="9"/>
  <c r="D107" i="9"/>
  <c r="D99" i="9"/>
  <c r="D91" i="9"/>
  <c r="D83" i="9"/>
  <c r="D75" i="9"/>
  <c r="D67" i="9"/>
  <c r="D59" i="9"/>
  <c r="D51" i="9"/>
  <c r="D43" i="9"/>
  <c r="D35" i="9"/>
  <c r="D27" i="9"/>
  <c r="D19" i="9"/>
  <c r="D11" i="9"/>
  <c r="D3" i="9"/>
  <c r="D238" i="9"/>
  <c r="D230" i="9"/>
  <c r="D214" i="9"/>
  <c r="D206" i="9"/>
  <c r="D198" i="9"/>
  <c r="D182" i="9"/>
  <c r="D170" i="9"/>
  <c r="D162" i="9"/>
  <c r="D154" i="9"/>
  <c r="D146" i="9"/>
  <c r="D138" i="9"/>
  <c r="D126" i="9"/>
  <c r="D118" i="9"/>
  <c r="D114" i="9"/>
  <c r="D106" i="9"/>
  <c r="D98" i="9"/>
  <c r="D90" i="9"/>
  <c r="D82" i="9"/>
  <c r="D74" i="9"/>
  <c r="D66" i="9"/>
  <c r="D58" i="9"/>
  <c r="D46" i="9"/>
  <c r="D42" i="9"/>
  <c r="D22" i="9"/>
  <c r="D14" i="9"/>
  <c r="D6" i="9"/>
  <c r="A171" i="9"/>
  <c r="A243" i="9"/>
  <c r="A154" i="9"/>
  <c r="A59" i="9"/>
  <c r="A252" i="9"/>
  <c r="A215" i="9"/>
  <c r="A110" i="9"/>
  <c r="A203" i="9"/>
  <c r="A173" i="9"/>
  <c r="A200" i="9"/>
  <c r="A30" i="9"/>
  <c r="A218" i="9"/>
  <c r="A108" i="9"/>
  <c r="A61" i="9"/>
  <c r="A11" i="9"/>
  <c r="A249" i="9"/>
  <c r="A49" i="9"/>
  <c r="A74" i="9"/>
  <c r="A55" i="9"/>
  <c r="A130" i="9"/>
  <c r="A246" i="9"/>
  <c r="A123" i="9"/>
  <c r="A142" i="9"/>
  <c r="A145" i="9"/>
  <c r="A198" i="9"/>
  <c r="A228" i="9"/>
  <c r="A62" i="9"/>
  <c r="A118" i="9"/>
  <c r="A162" i="9"/>
  <c r="A82" i="9"/>
  <c r="A206" i="9"/>
  <c r="A193" i="9"/>
  <c r="A201" i="9"/>
  <c r="A219" i="9"/>
  <c r="A3" i="9"/>
  <c r="A136" i="9"/>
  <c r="A161" i="9"/>
  <c r="A176" i="9"/>
  <c r="A114" i="9"/>
  <c r="A16" i="9"/>
  <c r="A56" i="9"/>
  <c r="A239" i="9"/>
  <c r="A106" i="9"/>
  <c r="A19" i="9"/>
  <c r="A188" i="9"/>
  <c r="A25" i="9"/>
  <c r="A22" i="9"/>
  <c r="A134" i="9"/>
  <c r="A140" i="9"/>
  <c r="A39" i="9"/>
  <c r="A84" i="9"/>
  <c r="A38" i="9"/>
  <c r="A5" i="9"/>
  <c r="A15" i="9"/>
  <c r="A236" i="9"/>
  <c r="A71" i="9"/>
  <c r="A183" i="9"/>
  <c r="A128" i="9"/>
  <c r="A107" i="9"/>
  <c r="A165" i="9"/>
  <c r="A149" i="9"/>
  <c r="A98" i="9"/>
  <c r="A26" i="9"/>
  <c r="A14" i="9"/>
  <c r="A79" i="9"/>
  <c r="A45" i="9"/>
  <c r="A43" i="9"/>
  <c r="A63" i="9"/>
  <c r="A116" i="9"/>
  <c r="A240" i="9"/>
  <c r="A251" i="9"/>
  <c r="A42" i="9"/>
  <c r="A66" i="9"/>
  <c r="A189" i="9"/>
  <c r="A111" i="9"/>
  <c r="A208" i="9"/>
  <c r="A256" i="9"/>
  <c r="A90" i="9"/>
  <c r="A131" i="9"/>
  <c r="A211" i="9"/>
  <c r="A78" i="9"/>
  <c r="A80" i="9"/>
  <c r="A232" i="9"/>
  <c r="A60" i="9"/>
  <c r="A69" i="9"/>
  <c r="A186" i="9"/>
  <c r="A21" i="9"/>
  <c r="A54" i="9"/>
  <c r="A75" i="9"/>
  <c r="A224" i="9"/>
  <c r="A53" i="9"/>
  <c r="A48" i="9"/>
  <c r="A194" i="9"/>
  <c r="A242" i="9"/>
  <c r="A170" i="9"/>
  <c r="A31" i="9"/>
  <c r="A163" i="9"/>
  <c r="A73" i="9"/>
  <c r="A37" i="9"/>
  <c r="A207" i="9"/>
  <c r="A93" i="9"/>
  <c r="A214" i="9"/>
  <c r="A47" i="9"/>
  <c r="A177" i="9"/>
  <c r="A125" i="9"/>
  <c r="A7" i="9"/>
  <c r="A51" i="9"/>
  <c r="A67" i="9"/>
  <c r="A172" i="9"/>
  <c r="A85" i="9"/>
  <c r="A257" i="9"/>
  <c r="A86" i="9"/>
  <c r="A175" i="9"/>
  <c r="A184" i="9"/>
  <c r="A18" i="9"/>
  <c r="A92" i="9"/>
  <c r="A68" i="9"/>
  <c r="A190" i="9"/>
  <c r="A40" i="9"/>
  <c r="A17" i="9"/>
  <c r="A97" i="9"/>
  <c r="A36" i="9"/>
  <c r="A197" i="9"/>
  <c r="A35" i="9"/>
  <c r="A104" i="9"/>
  <c r="A99" i="9"/>
  <c r="A117" i="9"/>
  <c r="A23" i="9"/>
  <c r="A220" i="9"/>
  <c r="A166" i="9"/>
  <c r="A210" i="9"/>
  <c r="A153" i="9"/>
  <c r="A138" i="9"/>
  <c r="A83" i="9"/>
  <c r="A250" i="9"/>
  <c r="A95" i="9"/>
  <c r="A231" i="9"/>
  <c r="A167" i="9"/>
  <c r="A156" i="9"/>
  <c r="A20" i="9"/>
  <c r="A143" i="9"/>
  <c r="A29" i="9"/>
  <c r="A72" i="9"/>
  <c r="A216" i="9"/>
  <c r="A146" i="9"/>
  <c r="A124" i="9"/>
  <c r="A27" i="9"/>
  <c r="A234" i="9"/>
  <c r="A226" i="9"/>
  <c r="A179" i="9"/>
  <c r="A32" i="9"/>
  <c r="A115" i="9"/>
  <c r="A4" i="9"/>
  <c r="A147" i="9"/>
  <c r="A181" i="9"/>
  <c r="A144" i="9"/>
  <c r="A24" i="9"/>
  <c r="A227" i="9"/>
  <c r="A70" i="9"/>
  <c r="A169" i="9"/>
  <c r="A233" i="9"/>
  <c r="A137" i="9"/>
  <c r="A245" i="9"/>
  <c r="A168" i="9"/>
  <c r="A58" i="9"/>
  <c r="A196" i="9"/>
  <c r="A6" i="9"/>
  <c r="A13" i="9"/>
  <c r="A199" i="9"/>
  <c r="A28" i="9"/>
  <c r="A225" i="9"/>
  <c r="A133" i="9"/>
  <c r="A230" i="9"/>
  <c r="A248" i="9"/>
  <c r="A52" i="9"/>
  <c r="A164" i="9"/>
  <c r="A241" i="9"/>
  <c r="A254" i="9"/>
  <c r="A113" i="9"/>
  <c r="A222" i="9"/>
  <c r="A10" i="9"/>
  <c r="A157" i="9"/>
  <c r="A132" i="9"/>
  <c r="A160" i="9"/>
  <c r="A102" i="9"/>
  <c r="A178" i="9"/>
  <c r="A255" i="9"/>
  <c r="A57" i="9"/>
  <c r="A100" i="9"/>
  <c r="A187" i="9"/>
  <c r="A213" i="9"/>
  <c r="A205" i="9"/>
  <c r="A77" i="9"/>
  <c r="A158" i="9"/>
  <c r="A235" i="9"/>
  <c r="A96" i="9"/>
  <c r="A41" i="9"/>
  <c r="A195" i="9"/>
  <c r="A185" i="9"/>
  <c r="A151" i="9"/>
  <c r="A148" i="9"/>
  <c r="A244" i="9"/>
  <c r="A135" i="9"/>
  <c r="A9" i="9"/>
  <c r="A121" i="9"/>
  <c r="A109" i="9"/>
  <c r="A103" i="9"/>
  <c r="A105" i="9"/>
  <c r="A204" i="9"/>
  <c r="A209" i="9"/>
  <c r="A91" i="9"/>
  <c r="A174" i="9"/>
  <c r="A212" i="9"/>
  <c r="A46" i="9"/>
  <c r="A8" i="9"/>
  <c r="A155" i="9"/>
  <c r="A180" i="9"/>
  <c r="A101" i="9"/>
  <c r="A122" i="9"/>
  <c r="A65" i="9"/>
  <c r="A50" i="9"/>
  <c r="A229" i="9"/>
  <c r="A33" i="9"/>
  <c r="A237" i="9"/>
  <c r="A238" i="9"/>
  <c r="A139" i="9"/>
  <c r="A192" i="9"/>
  <c r="A182" i="9"/>
  <c r="A253" i="9"/>
  <c r="A223" i="9"/>
  <c r="A89" i="9"/>
  <c r="A247" i="9"/>
  <c r="A191" i="9"/>
  <c r="A76" i="9"/>
  <c r="A129" i="9"/>
  <c r="A44" i="9"/>
  <c r="A81" i="9"/>
  <c r="A126" i="9"/>
  <c r="A119" i="9"/>
  <c r="A2" i="9"/>
  <c r="A94" i="9"/>
  <c r="A34" i="9"/>
  <c r="A64" i="9"/>
  <c r="A150" i="9"/>
  <c r="A112" i="9"/>
  <c r="A12" i="9"/>
  <c r="A221" i="9"/>
  <c r="A141" i="9"/>
  <c r="A127" i="9"/>
  <c r="A88" i="9"/>
  <c r="A159" i="9"/>
  <c r="A217" i="9"/>
  <c r="A152" i="9"/>
  <c r="A120" i="9"/>
  <c r="A202" i="9"/>
  <c r="A87" i="9"/>
  <c r="B147" i="9" l="1"/>
  <c r="B20" i="9"/>
  <c r="B26" i="9"/>
  <c r="B164" i="9"/>
  <c r="B109" i="9"/>
  <c r="B188" i="9"/>
  <c r="B85" i="9"/>
  <c r="B58" i="9"/>
  <c r="B129" i="9"/>
  <c r="B19" i="9"/>
  <c r="B123" i="9"/>
  <c r="B124" i="9"/>
  <c r="B90" i="9"/>
  <c r="B167" i="9"/>
  <c r="B21" i="9"/>
  <c r="B232" i="9"/>
  <c r="B10" i="9"/>
  <c r="B50" i="9"/>
  <c r="B128" i="9"/>
  <c r="B183" i="9"/>
  <c r="B97" i="9"/>
  <c r="B245" i="9"/>
  <c r="B45" i="9"/>
  <c r="B67" i="9"/>
  <c r="B149" i="9"/>
  <c r="B136" i="9"/>
  <c r="B100" i="9"/>
  <c r="B86" i="9"/>
  <c r="B214" i="9"/>
  <c r="B244" i="9"/>
  <c r="B250" i="9"/>
  <c r="B210" i="9"/>
  <c r="B62" i="9"/>
  <c r="B108" i="9"/>
  <c r="B112" i="9"/>
  <c r="B41" i="9"/>
  <c r="B75" i="9"/>
  <c r="B36" i="9"/>
  <c r="B227" i="9"/>
  <c r="B114" i="9"/>
  <c r="B242" i="9"/>
  <c r="B133" i="9"/>
  <c r="B174" i="9"/>
  <c r="B55" i="9"/>
  <c r="B141" i="9"/>
  <c r="B255" i="9"/>
  <c r="B203" i="9"/>
  <c r="B59" i="9"/>
  <c r="B185" i="9"/>
  <c r="B182" i="9"/>
  <c r="B22" i="9"/>
  <c r="B25" i="9"/>
  <c r="B70" i="9"/>
  <c r="B126" i="9"/>
  <c r="B56" i="9"/>
  <c r="B144" i="9"/>
  <c r="B39" i="9"/>
  <c r="B115" i="9"/>
  <c r="B207" i="9"/>
  <c r="B105" i="9"/>
  <c r="B179" i="9"/>
  <c r="B223" i="9"/>
  <c r="B191" i="9"/>
  <c r="B247" i="9"/>
  <c r="B192" i="9"/>
  <c r="B254" i="9"/>
  <c r="B106" i="9"/>
  <c r="B46" i="9"/>
  <c r="B231" i="9"/>
  <c r="B63" i="9"/>
  <c r="B120" i="9"/>
  <c r="B212" i="9"/>
  <c r="B29" i="9"/>
  <c r="B33" i="9"/>
  <c r="B234" i="9"/>
  <c r="B169" i="9"/>
  <c r="B5" i="9"/>
  <c r="B170" i="9"/>
  <c r="B186" i="9"/>
  <c r="B80" i="9"/>
  <c r="B131" i="9"/>
  <c r="B148" i="9"/>
  <c r="B65" i="9"/>
  <c r="B87" i="9"/>
  <c r="B6" i="9"/>
  <c r="B145" i="9"/>
  <c r="B206" i="9"/>
  <c r="B162" i="9"/>
  <c r="B132" i="9"/>
  <c r="B198" i="9"/>
  <c r="B175" i="9"/>
  <c r="B163" i="9"/>
  <c r="B137" i="9"/>
  <c r="B165" i="9"/>
  <c r="B83" i="9"/>
  <c r="B166" i="9"/>
  <c r="B209" i="9"/>
  <c r="B53" i="9"/>
  <c r="B42" i="9"/>
  <c r="B225" i="9"/>
  <c r="B200" i="9"/>
  <c r="B71" i="9"/>
  <c r="B40" i="9"/>
  <c r="B68" i="9"/>
  <c r="B11" i="9"/>
  <c r="B15" i="9"/>
  <c r="B246" i="9"/>
  <c r="B146" i="9"/>
  <c r="B99" i="9"/>
  <c r="B30" i="9"/>
  <c r="B110" i="9"/>
  <c r="B154" i="9"/>
  <c r="B189" i="9"/>
  <c r="B117" i="9"/>
  <c r="B8" i="9"/>
  <c r="B235" i="9"/>
  <c r="B239" i="9"/>
  <c r="B187" i="9"/>
  <c r="B91" i="9"/>
  <c r="B152" i="9"/>
  <c r="B155" i="9"/>
  <c r="B2" i="9"/>
  <c r="B113" i="9"/>
  <c r="B201" i="9"/>
  <c r="B142" i="9"/>
  <c r="B150" i="9"/>
  <c r="B121" i="9"/>
  <c r="B9" i="9"/>
  <c r="B125" i="9"/>
  <c r="B156" i="9"/>
  <c r="B89" i="9"/>
  <c r="B98" i="9"/>
  <c r="B178" i="9"/>
  <c r="B66" i="9"/>
  <c r="B196" i="9"/>
  <c r="B79" i="9"/>
  <c r="B103" i="9"/>
  <c r="B34" i="9"/>
  <c r="B233" i="9"/>
  <c r="B74" i="9"/>
  <c r="B43" i="9"/>
  <c r="B48" i="9"/>
  <c r="B69" i="9"/>
  <c r="B78" i="9"/>
  <c r="B197" i="9"/>
  <c r="B208" i="9"/>
  <c r="B151" i="9"/>
  <c r="B221" i="9"/>
  <c r="B193" i="9"/>
  <c r="B7" i="9"/>
  <c r="B172" i="9"/>
  <c r="B176" i="9"/>
  <c r="B127" i="9"/>
  <c r="B139" i="9"/>
  <c r="B37" i="9"/>
  <c r="B57" i="9"/>
  <c r="B204" i="9"/>
  <c r="B72" i="9"/>
  <c r="B138" i="9"/>
  <c r="B220" i="9"/>
  <c r="B18" i="9"/>
  <c r="B218" i="9"/>
  <c r="B38" i="9"/>
  <c r="B84" i="9"/>
  <c r="B54" i="9"/>
  <c r="B12" i="9"/>
  <c r="B16" i="9"/>
  <c r="B51" i="9"/>
  <c r="B194" i="9"/>
  <c r="B101" i="9"/>
  <c r="B27" i="9"/>
  <c r="B31" i="9"/>
  <c r="B248" i="9"/>
  <c r="B64" i="9"/>
  <c r="B215" i="9"/>
  <c r="B243" i="9"/>
  <c r="B236" i="9"/>
  <c r="B240" i="9"/>
  <c r="B104" i="9"/>
  <c r="B35" i="9"/>
  <c r="B158" i="9"/>
  <c r="B159" i="9"/>
  <c r="B24" i="9"/>
  <c r="B77" i="9"/>
  <c r="B96" i="9"/>
  <c r="B47" i="9"/>
  <c r="B219" i="9"/>
  <c r="B222" i="9"/>
  <c r="B93" i="9"/>
  <c r="B140" i="9"/>
  <c r="B102" i="9"/>
  <c r="B160" i="9"/>
  <c r="B4" i="9"/>
  <c r="B76" i="9"/>
  <c r="B88" i="9"/>
  <c r="B229" i="9"/>
  <c r="B95" i="9"/>
  <c r="B256" i="9"/>
  <c r="B94" i="9"/>
  <c r="B181" i="9"/>
  <c r="B143" i="9"/>
  <c r="B135" i="9"/>
  <c r="B130" i="9"/>
  <c r="B216" i="9"/>
  <c r="B157" i="9"/>
  <c r="B161" i="9"/>
  <c r="B60" i="9"/>
  <c r="B211" i="9"/>
  <c r="B14" i="9"/>
  <c r="B107" i="9"/>
  <c r="B111" i="9"/>
  <c r="B230" i="9"/>
  <c r="B119" i="9"/>
  <c r="B81" i="9"/>
  <c r="B82" i="9"/>
  <c r="B92" i="9"/>
  <c r="B52" i="9"/>
  <c r="B184" i="9"/>
  <c r="B44" i="9"/>
  <c r="B49" i="9"/>
  <c r="B226" i="9"/>
  <c r="B249" i="9"/>
  <c r="B153" i="9"/>
  <c r="B23" i="9"/>
  <c r="B228" i="9"/>
  <c r="B224" i="9"/>
  <c r="B180" i="9"/>
  <c r="B202" i="9"/>
  <c r="B173" i="9"/>
  <c r="B177" i="9"/>
  <c r="B190" i="9"/>
  <c r="B118" i="9"/>
  <c r="B61" i="9"/>
  <c r="B195" i="9"/>
  <c r="B205" i="9"/>
  <c r="B238" i="9"/>
  <c r="B199" i="9"/>
  <c r="B122" i="9"/>
  <c r="B252" i="9"/>
  <c r="B171" i="9"/>
  <c r="B253" i="9"/>
  <c r="B134" i="9"/>
  <c r="B116" i="9"/>
  <c r="B13" i="9"/>
  <c r="B17" i="9"/>
  <c r="B251" i="9"/>
  <c r="B213" i="9"/>
  <c r="B168" i="9"/>
  <c r="B28" i="9"/>
  <c r="B32" i="9"/>
  <c r="B73" i="9"/>
  <c r="B257" i="9"/>
  <c r="B3" i="9"/>
  <c r="B217" i="9"/>
  <c r="B237" i="9"/>
  <c r="B241" i="9"/>
  <c r="A5" i="8"/>
  <c r="Q17" i="6" l="1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322" i="8" l="1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40" i="8"/>
  <c r="A320" i="8"/>
  <c r="A4" i="8"/>
  <c r="A1" i="8"/>
  <c r="C48" i="9"/>
  <c r="C166" i="9"/>
  <c r="C108" i="9"/>
  <c r="C92" i="9"/>
  <c r="C141" i="9"/>
  <c r="C129" i="9"/>
  <c r="C41" i="9"/>
  <c r="C94" i="9"/>
  <c r="C24" i="9"/>
  <c r="C27" i="9"/>
  <c r="C15" i="9"/>
  <c r="C217" i="9"/>
  <c r="C54" i="9"/>
  <c r="C235" i="9"/>
  <c r="C197" i="9"/>
  <c r="C165" i="9"/>
  <c r="C201" i="9"/>
  <c r="C204" i="9"/>
  <c r="C154" i="9"/>
  <c r="C22" i="9"/>
  <c r="C61" i="9"/>
  <c r="C191" i="9"/>
  <c r="C136" i="9"/>
  <c r="C70" i="9"/>
  <c r="C82" i="9"/>
  <c r="C195" i="9"/>
  <c r="C32" i="9"/>
  <c r="C113" i="9"/>
  <c r="C178" i="9"/>
  <c r="C164" i="9"/>
  <c r="C77" i="9"/>
  <c r="C135" i="9"/>
  <c r="C177" i="9"/>
  <c r="C159" i="9"/>
  <c r="C98" i="9"/>
  <c r="C254" i="9"/>
  <c r="C140" i="9"/>
  <c r="C65" i="9"/>
  <c r="C133" i="9"/>
  <c r="C231" i="9"/>
  <c r="C202" i="9"/>
  <c r="C138" i="9"/>
  <c r="C99" i="9"/>
  <c r="C43" i="9"/>
  <c r="C107" i="9"/>
  <c r="C50" i="9"/>
  <c r="C190" i="9"/>
  <c r="C167" i="9"/>
  <c r="C248" i="9"/>
  <c r="C207" i="9"/>
  <c r="C47" i="9"/>
  <c r="C214" i="9"/>
  <c r="C28" i="9"/>
  <c r="C209" i="9"/>
  <c r="C100" i="9"/>
  <c r="C144" i="9"/>
  <c r="C219" i="9"/>
  <c r="C176" i="9"/>
  <c r="C126" i="9"/>
  <c r="C44" i="9"/>
  <c r="C211" i="9"/>
  <c r="C152" i="9"/>
  <c r="C181" i="9"/>
  <c r="C9" i="9"/>
  <c r="C189" i="9"/>
  <c r="C57" i="9"/>
  <c r="C193" i="9"/>
  <c r="C238" i="9"/>
  <c r="C241" i="9"/>
  <c r="C18" i="9"/>
  <c r="C53" i="9"/>
  <c r="C199" i="9"/>
  <c r="C8" i="9"/>
  <c r="C120" i="9"/>
  <c r="C85" i="9"/>
  <c r="C237" i="9"/>
  <c r="C232" i="9"/>
  <c r="C81" i="9"/>
  <c r="C19" i="9"/>
  <c r="C194" i="9"/>
  <c r="C240" i="9"/>
  <c r="C56" i="9"/>
  <c r="C128" i="9"/>
  <c r="C174" i="9"/>
  <c r="C60" i="9"/>
  <c r="C226" i="9"/>
  <c r="C31" i="9"/>
  <c r="C157" i="9"/>
  <c r="C180" i="9"/>
  <c r="C117" i="9"/>
  <c r="C11" i="9"/>
  <c r="C89" i="9"/>
  <c r="C87" i="9"/>
  <c r="C67" i="9"/>
  <c r="C4" i="9"/>
  <c r="C112" i="9"/>
  <c r="C213" i="9"/>
  <c r="C45" i="9"/>
  <c r="C96" i="9"/>
  <c r="C173" i="9"/>
  <c r="C169" i="9"/>
  <c r="C210" i="9"/>
  <c r="C179" i="9"/>
  <c r="C125" i="9"/>
  <c r="C132" i="9"/>
  <c r="C156" i="9"/>
  <c r="C208" i="9"/>
  <c r="C225" i="9"/>
  <c r="C75" i="9"/>
  <c r="C249" i="9"/>
  <c r="C59" i="9"/>
  <c r="C90" i="9"/>
  <c r="C114" i="9"/>
  <c r="C130" i="9"/>
  <c r="C14" i="9"/>
  <c r="C175" i="9"/>
  <c r="C185" i="9"/>
  <c r="C6" i="9"/>
  <c r="C168" i="9"/>
  <c r="C230" i="9"/>
  <c r="C253" i="9"/>
  <c r="C37" i="9"/>
  <c r="C170" i="9"/>
  <c r="C36" i="9"/>
  <c r="C58" i="9"/>
  <c r="C88" i="9"/>
  <c r="C184" i="9"/>
  <c r="C218" i="9"/>
  <c r="C93" i="9"/>
  <c r="C79" i="9"/>
  <c r="C63" i="9"/>
  <c r="C95" i="9"/>
  <c r="C206" i="9"/>
  <c r="C255" i="9"/>
  <c r="C212" i="9"/>
  <c r="C118" i="9"/>
  <c r="C23" i="9"/>
  <c r="C155" i="9"/>
  <c r="C5" i="9"/>
  <c r="C21" i="9"/>
  <c r="C215" i="9"/>
  <c r="C2" i="9"/>
  <c r="C151" i="9"/>
  <c r="C149" i="9"/>
  <c r="C122" i="9"/>
  <c r="C10" i="9"/>
  <c r="C236" i="9"/>
  <c r="C116" i="9"/>
  <c r="C172" i="9"/>
  <c r="C145" i="9"/>
  <c r="C49" i="9"/>
  <c r="C40" i="9"/>
  <c r="C105" i="9"/>
  <c r="C221" i="9"/>
  <c r="C17" i="9"/>
  <c r="C73" i="9"/>
  <c r="C34" i="9"/>
  <c r="C163" i="9"/>
  <c r="C250" i="9"/>
  <c r="C245" i="9"/>
  <c r="C242" i="9"/>
  <c r="C109" i="9"/>
  <c r="C62" i="9"/>
  <c r="C160" i="9"/>
  <c r="C51" i="9"/>
  <c r="C84" i="9"/>
  <c r="C71" i="9"/>
  <c r="C251" i="9"/>
  <c r="C239" i="9"/>
  <c r="C33" i="9"/>
  <c r="C123" i="9"/>
  <c r="C16" i="9"/>
  <c r="C139" i="9"/>
  <c r="C146" i="9"/>
  <c r="C203" i="9"/>
  <c r="C74" i="9"/>
  <c r="C131" i="9"/>
  <c r="C183" i="9"/>
  <c r="C198" i="9"/>
  <c r="C121" i="9"/>
  <c r="C186" i="9"/>
  <c r="C134" i="9"/>
  <c r="C147" i="9"/>
  <c r="C205" i="9"/>
  <c r="C20" i="9"/>
  <c r="C38" i="9"/>
  <c r="C244" i="9"/>
  <c r="C247" i="9"/>
  <c r="C119" i="9"/>
  <c r="C162" i="9"/>
  <c r="C223" i="9"/>
  <c r="C80" i="9"/>
  <c r="C78" i="9"/>
  <c r="C68" i="9"/>
  <c r="C69" i="9"/>
  <c r="C252" i="9"/>
  <c r="C101" i="9"/>
  <c r="C3" i="9"/>
  <c r="C150" i="9"/>
  <c r="C110" i="9"/>
  <c r="C161" i="9"/>
  <c r="C233" i="9"/>
  <c r="C104" i="9"/>
  <c r="C97" i="9"/>
  <c r="C153" i="9"/>
  <c r="C42" i="9"/>
  <c r="C222" i="9"/>
  <c r="C106" i="9"/>
  <c r="C246" i="9"/>
  <c r="C227" i="9"/>
  <c r="C137" i="9"/>
  <c r="C55" i="9"/>
  <c r="C234" i="9"/>
  <c r="C182" i="9"/>
  <c r="C83" i="9"/>
  <c r="C243" i="9"/>
  <c r="C142" i="9"/>
  <c r="C72" i="9"/>
  <c r="C46" i="9"/>
  <c r="C188" i="9"/>
  <c r="C29" i="9"/>
  <c r="C30" i="9"/>
  <c r="C39" i="9"/>
  <c r="C256" i="9"/>
  <c r="C13" i="9"/>
  <c r="C86" i="9"/>
  <c r="C7" i="9"/>
  <c r="C200" i="9"/>
  <c r="C127" i="9"/>
  <c r="C171" i="9"/>
  <c r="C124" i="9"/>
  <c r="C229" i="9"/>
  <c r="C52" i="9"/>
  <c r="C196" i="9"/>
  <c r="C192" i="9"/>
  <c r="C66" i="9"/>
  <c r="C224" i="9"/>
  <c r="C91" i="9"/>
  <c r="C25" i="9"/>
  <c r="C103" i="9"/>
  <c r="C115" i="9"/>
  <c r="C220" i="9"/>
  <c r="C26" i="9"/>
  <c r="C12" i="9"/>
  <c r="C143" i="9"/>
  <c r="C102" i="9"/>
  <c r="C158" i="9"/>
  <c r="C35" i="9"/>
  <c r="C187" i="9"/>
  <c r="C148" i="9"/>
  <c r="C111" i="9"/>
  <c r="C228" i="9"/>
  <c r="C216" i="9"/>
  <c r="C257" i="9"/>
  <c r="C76" i="9"/>
  <c r="C64" i="9"/>
</calcChain>
</file>

<file path=xl/sharedStrings.xml><?xml version="1.0" encoding="utf-8"?>
<sst xmlns="http://schemas.openxmlformats.org/spreadsheetml/2006/main" count="2172" uniqueCount="1010">
  <si>
    <t>ORA</t>
  </si>
  <si>
    <t>JMP</t>
  </si>
  <si>
    <t>ADC</t>
  </si>
  <si>
    <t>STA</t>
  </si>
  <si>
    <t>LDA</t>
  </si>
  <si>
    <t>CMP</t>
  </si>
  <si>
    <t>INX</t>
  </si>
  <si>
    <t>NOP</t>
  </si>
  <si>
    <t>Mode</t>
  </si>
  <si>
    <t>Cycles</t>
  </si>
  <si>
    <t>A</t>
  </si>
  <si>
    <t>B</t>
  </si>
  <si>
    <t>imp</t>
  </si>
  <si>
    <t>C</t>
  </si>
  <si>
    <t>D</t>
  </si>
  <si>
    <t>E</t>
  </si>
  <si>
    <t>F</t>
  </si>
  <si>
    <t>CPU</t>
  </si>
  <si>
    <t>Registers</t>
  </si>
  <si>
    <t>PC</t>
  </si>
  <si>
    <t>Flags</t>
  </si>
  <si>
    <t xml:space="preserve"> </t>
  </si>
  <si>
    <t>## Instruction Set</t>
  </si>
  <si>
    <t>Example</t>
  </si>
  <si>
    <t>References</t>
  </si>
  <si>
    <t>## Intro</t>
  </si>
  <si>
    <t>### Registers</t>
  </si>
  <si>
    <t>### Flags</t>
  </si>
  <si>
    <t>### OpCode List</t>
  </si>
  <si>
    <t>### OpCode Table</t>
  </si>
  <si>
    <t>## References</t>
  </si>
  <si>
    <t>P</t>
  </si>
  <si>
    <t>S</t>
  </si>
  <si>
    <t>| Register | Description |</t>
  </si>
  <si>
    <t>| -----:| --- | --- | --- | --- | --- | --- | --- | --- | --- | --- | --- | --- | --- | --- | --- | --- |</t>
  </si>
  <si>
    <t>|:--------:|-------------|</t>
  </si>
  <si>
    <t>| Flag | Description |</t>
  </si>
  <si>
    <t>|:----:|-------------|</t>
  </si>
  <si>
    <t>### Adrress Mode</t>
  </si>
  <si>
    <t>| Mode | Description |</t>
  </si>
  <si>
    <t>Modes</t>
  </si>
  <si>
    <t>implicit</t>
  </si>
  <si>
    <t>https://tobiasvl.github.io/optable/intel-8080/</t>
  </si>
  <si>
    <t>Length</t>
  </si>
  <si>
    <t>Description</t>
  </si>
  <si>
    <t>LXI</t>
  </si>
  <si>
    <t>STAX</t>
  </si>
  <si>
    <t>(BC) &lt;- A</t>
  </si>
  <si>
    <t>INR</t>
  </si>
  <si>
    <t>DCR</t>
  </si>
  <si>
    <t>MVI</t>
  </si>
  <si>
    <t>RLC</t>
  </si>
  <si>
    <t>DAD</t>
  </si>
  <si>
    <t>LDAX</t>
  </si>
  <si>
    <t>A &lt;- (BC)</t>
  </si>
  <si>
    <t>DCX</t>
  </si>
  <si>
    <t>RRC</t>
  </si>
  <si>
    <t>(DE) &lt;- A</t>
  </si>
  <si>
    <t>DE &lt;- DE + 1</t>
  </si>
  <si>
    <t>RAL</t>
  </si>
  <si>
    <t>A &lt;- (DE)</t>
  </si>
  <si>
    <t>RAR</t>
  </si>
  <si>
    <t>SHLD</t>
  </si>
  <si>
    <t>a16</t>
  </si>
  <si>
    <t>H</t>
  </si>
  <si>
    <t>HL &lt;- HL + 1</t>
  </si>
  <si>
    <t>DAA</t>
  </si>
  <si>
    <t>LHLD</t>
  </si>
  <si>
    <t>L</t>
  </si>
  <si>
    <t>CMA</t>
  </si>
  <si>
    <t>A &lt;- !A</t>
  </si>
  <si>
    <t>(adr) &lt;- A</t>
  </si>
  <si>
    <t>SP</t>
  </si>
  <si>
    <t>M</t>
  </si>
  <si>
    <t>STC</t>
  </si>
  <si>
    <t>A &lt;- (adr)</t>
  </si>
  <si>
    <t>CMC</t>
  </si>
  <si>
    <t>MOV</t>
  </si>
  <si>
    <t>B &lt;- B</t>
  </si>
  <si>
    <t>B &lt;- C</t>
  </si>
  <si>
    <t>B &lt;- D</t>
  </si>
  <si>
    <t>B &lt;- E</t>
  </si>
  <si>
    <t>B &lt;- H</t>
  </si>
  <si>
    <t>B &lt;- L</t>
  </si>
  <si>
    <t>B &lt;- (HL)</t>
  </si>
  <si>
    <t>B &lt;- A</t>
  </si>
  <si>
    <t>C &lt;- B</t>
  </si>
  <si>
    <t>C &lt;- C</t>
  </si>
  <si>
    <t>C &lt;- D</t>
  </si>
  <si>
    <t>C &lt;- E</t>
  </si>
  <si>
    <t>C &lt;- H</t>
  </si>
  <si>
    <t>C &lt;- L</t>
  </si>
  <si>
    <t>C &lt;- (HL)</t>
  </si>
  <si>
    <t>C &lt;- A</t>
  </si>
  <si>
    <t>D &lt;- B</t>
  </si>
  <si>
    <t>D &lt;- C</t>
  </si>
  <si>
    <t>D &lt;- D</t>
  </si>
  <si>
    <t>D &lt;- E</t>
  </si>
  <si>
    <t>D &lt;- H</t>
  </si>
  <si>
    <t>D &lt;- L</t>
  </si>
  <si>
    <t>D &lt;- (HL)</t>
  </si>
  <si>
    <t>D &lt;- A</t>
  </si>
  <si>
    <t>E &lt;- B</t>
  </si>
  <si>
    <t>E &lt;- C</t>
  </si>
  <si>
    <t>E &lt;- D</t>
  </si>
  <si>
    <t>E &lt;- E</t>
  </si>
  <si>
    <t>E &lt;- H</t>
  </si>
  <si>
    <t>E &lt;- L</t>
  </si>
  <si>
    <t>E &lt;- (HL)</t>
  </si>
  <si>
    <t>E &lt;- A</t>
  </si>
  <si>
    <t>H &lt;- B</t>
  </si>
  <si>
    <t>H &lt;- C</t>
  </si>
  <si>
    <t>H &lt;- D</t>
  </si>
  <si>
    <t>H &lt;- E</t>
  </si>
  <si>
    <t>H &lt;- H</t>
  </si>
  <si>
    <t>H &lt;- L</t>
  </si>
  <si>
    <t>H &lt;- (HL)</t>
  </si>
  <si>
    <t>H &lt;- A</t>
  </si>
  <si>
    <t>L &lt;- B</t>
  </si>
  <si>
    <t>L &lt;- C</t>
  </si>
  <si>
    <t>L &lt;- D</t>
  </si>
  <si>
    <t>L &lt;- E</t>
  </si>
  <si>
    <t>L &lt;- H</t>
  </si>
  <si>
    <t>L &lt;- L</t>
  </si>
  <si>
    <t>L &lt;- (HL)</t>
  </si>
  <si>
    <t>L &lt;- A</t>
  </si>
  <si>
    <t>(HL) &lt;- B</t>
  </si>
  <si>
    <t>(HL) &lt;- C</t>
  </si>
  <si>
    <t>(HL) &lt;- D</t>
  </si>
  <si>
    <t>(HL) &lt;- E</t>
  </si>
  <si>
    <t>(HL) &lt;- H</t>
  </si>
  <si>
    <t>(HL) &lt;- L</t>
  </si>
  <si>
    <t>HLT</t>
  </si>
  <si>
    <t>(HL) &lt;- A</t>
  </si>
  <si>
    <t>A &lt;- B</t>
  </si>
  <si>
    <t>A &lt;- C</t>
  </si>
  <si>
    <t>A &lt;- D</t>
  </si>
  <si>
    <t>A &lt;- E</t>
  </si>
  <si>
    <t>A &lt;- H</t>
  </si>
  <si>
    <t>A &lt;- L</t>
  </si>
  <si>
    <t>A &lt;- (HL)</t>
  </si>
  <si>
    <t>A &lt;- A</t>
  </si>
  <si>
    <t>ADD</t>
  </si>
  <si>
    <t>A &lt;- A + B</t>
  </si>
  <si>
    <t>A &lt;- A + C</t>
  </si>
  <si>
    <t>A &lt;- A + D</t>
  </si>
  <si>
    <t>A &lt;- A + E</t>
  </si>
  <si>
    <t>A &lt;- A + H</t>
  </si>
  <si>
    <t>A &lt;- A + L</t>
  </si>
  <si>
    <t>A &lt;- A + (HL)</t>
  </si>
  <si>
    <t>A &lt;- A + A</t>
  </si>
  <si>
    <t>A &lt;- A + B + CY</t>
  </si>
  <si>
    <t>A &lt;- A + C + CY</t>
  </si>
  <si>
    <t>A &lt;- A + D + CY</t>
  </si>
  <si>
    <t>A &lt;- A + E + CY</t>
  </si>
  <si>
    <t>A &lt;- A + H + CY</t>
  </si>
  <si>
    <t>A &lt;- A + L + CY</t>
  </si>
  <si>
    <t>A &lt;- A + (HL) + CY</t>
  </si>
  <si>
    <t>A &lt;- A + A + CY</t>
  </si>
  <si>
    <t>SUB</t>
  </si>
  <si>
    <t>A &lt;- A - B</t>
  </si>
  <si>
    <t>A &lt;- A - C</t>
  </si>
  <si>
    <t>A &lt;- A - E</t>
  </si>
  <si>
    <t>A &lt;- A - L</t>
  </si>
  <si>
    <t>A &lt;- A - A</t>
  </si>
  <si>
    <t>SBB</t>
  </si>
  <si>
    <t>A &lt;- A - B - CY</t>
  </si>
  <si>
    <t>A &lt;- A - C - CY</t>
  </si>
  <si>
    <t>A &lt;- A - D - CY</t>
  </si>
  <si>
    <t>A &lt;- A - E - CY</t>
  </si>
  <si>
    <t>A &lt;- A - H - CY</t>
  </si>
  <si>
    <t>A &lt;- A - L - CY</t>
  </si>
  <si>
    <t>A &lt;- A - (HL) - CY</t>
  </si>
  <si>
    <t>A &lt;- A - A - CY</t>
  </si>
  <si>
    <t>ANA</t>
  </si>
  <si>
    <t>A &lt;- A &amp; B</t>
  </si>
  <si>
    <t>A &lt;- A &amp; C</t>
  </si>
  <si>
    <t>A &lt;- A &amp; D</t>
  </si>
  <si>
    <t>A &lt;- A &amp; E</t>
  </si>
  <si>
    <t>A &lt;- A &amp; H</t>
  </si>
  <si>
    <t>A &lt;- A &amp; L</t>
  </si>
  <si>
    <t>A &lt;- A &amp; (HL)</t>
  </si>
  <si>
    <t>A &lt;- A &amp; A</t>
  </si>
  <si>
    <t>XRA</t>
  </si>
  <si>
    <t>A &lt;- A ^ B</t>
  </si>
  <si>
    <t>A &lt;- A ^ C</t>
  </si>
  <si>
    <t>A &lt;- A ^ D</t>
  </si>
  <si>
    <t>A &lt;- A ^ E</t>
  </si>
  <si>
    <t>A &lt;- A ^ H</t>
  </si>
  <si>
    <t>A &lt;- A ^ L</t>
  </si>
  <si>
    <t>A &lt;- A ^ (HL)</t>
  </si>
  <si>
    <t>A &lt;- A ^ A</t>
  </si>
  <si>
    <t>A &lt;- A | B</t>
  </si>
  <si>
    <t>A &lt;- A | C</t>
  </si>
  <si>
    <t>A &lt;- A | D</t>
  </si>
  <si>
    <t>A &lt;- A | E</t>
  </si>
  <si>
    <t>A &lt;- A | H</t>
  </si>
  <si>
    <t>A &lt;- A | L</t>
  </si>
  <si>
    <t>A &lt;- A | (HL)</t>
  </si>
  <si>
    <t>A &lt;- A | A</t>
  </si>
  <si>
    <t>A - B</t>
  </si>
  <si>
    <t>A - C</t>
  </si>
  <si>
    <t>A - D</t>
  </si>
  <si>
    <t>A - E</t>
  </si>
  <si>
    <t>A - H</t>
  </si>
  <si>
    <t>A - L</t>
  </si>
  <si>
    <t>A - (HL)</t>
  </si>
  <si>
    <t>A - A</t>
  </si>
  <si>
    <t>RNZ</t>
  </si>
  <si>
    <t>1|3</t>
  </si>
  <si>
    <t>if NZ, RET</t>
  </si>
  <si>
    <t>POP</t>
  </si>
  <si>
    <t>JNZ</t>
  </si>
  <si>
    <t>if NZ, PC &lt;- adr</t>
  </si>
  <si>
    <t>CNZ</t>
  </si>
  <si>
    <t>if NZ, CALL adr</t>
  </si>
  <si>
    <t>PUSH</t>
  </si>
  <si>
    <t>ADI</t>
  </si>
  <si>
    <t>d8</t>
  </si>
  <si>
    <t>RST</t>
  </si>
  <si>
    <t>CALL $0</t>
  </si>
  <si>
    <t>RZ</t>
  </si>
  <si>
    <t>if Z, RET</t>
  </si>
  <si>
    <t>RET</t>
  </si>
  <si>
    <t>JZ</t>
  </si>
  <si>
    <t>if Z, PC &lt;- adr</t>
  </si>
  <si>
    <t>CZ</t>
  </si>
  <si>
    <t>if Z, CALL adr</t>
  </si>
  <si>
    <t>CALL</t>
  </si>
  <si>
    <t>ACI</t>
  </si>
  <si>
    <t>CALL $8</t>
  </si>
  <si>
    <t>RNC</t>
  </si>
  <si>
    <t>if NCY, RET</t>
  </si>
  <si>
    <t>JNC</t>
  </si>
  <si>
    <t>OUT</t>
  </si>
  <si>
    <t>CNC</t>
  </si>
  <si>
    <t>if NCY, CALL adr</t>
  </si>
  <si>
    <t>SUI</t>
  </si>
  <si>
    <t>CALL $10</t>
  </si>
  <si>
    <t>RC</t>
  </si>
  <si>
    <t>if CY, RET</t>
  </si>
  <si>
    <t>JC</t>
  </si>
  <si>
    <t>IN</t>
  </si>
  <si>
    <t>CC</t>
  </si>
  <si>
    <t>if CY, CALL adr</t>
  </si>
  <si>
    <t>SBI</t>
  </si>
  <si>
    <t>CALL $18</t>
  </si>
  <si>
    <t>RPO</t>
  </si>
  <si>
    <t>if PO, RET</t>
  </si>
  <si>
    <t>JPO</t>
  </si>
  <si>
    <t>if PO, PC &lt;- adr</t>
  </si>
  <si>
    <t>XTHL</t>
  </si>
  <si>
    <t>CPO</t>
  </si>
  <si>
    <t>if PO, CALL adr</t>
  </si>
  <si>
    <t>ANI</t>
  </si>
  <si>
    <t>CALL $20</t>
  </si>
  <si>
    <t>RPE</t>
  </si>
  <si>
    <t>if PE, RET</t>
  </si>
  <si>
    <t>PCHL</t>
  </si>
  <si>
    <t>JPE</t>
  </si>
  <si>
    <t>if PE, PC &lt;- adr</t>
  </si>
  <si>
    <t>XCHG</t>
  </si>
  <si>
    <t>CPE</t>
  </si>
  <si>
    <t>if PE, CALL adr</t>
  </si>
  <si>
    <t>XRI</t>
  </si>
  <si>
    <t>CALL $28</t>
  </si>
  <si>
    <t>RP</t>
  </si>
  <si>
    <t>if P, RET</t>
  </si>
  <si>
    <t>PSW</t>
  </si>
  <si>
    <t>JP</t>
  </si>
  <si>
    <t>DI</t>
  </si>
  <si>
    <t>CP</t>
  </si>
  <si>
    <t>if P, PC &lt;- adr</t>
  </si>
  <si>
    <t>ORI</t>
  </si>
  <si>
    <t>CALL $30</t>
  </si>
  <si>
    <t>RM</t>
  </si>
  <si>
    <t>if M, RET</t>
  </si>
  <si>
    <t>SPHL</t>
  </si>
  <si>
    <t>JM</t>
  </si>
  <si>
    <t>if M, PC &lt;- adr</t>
  </si>
  <si>
    <t>EI</t>
  </si>
  <si>
    <t>CM</t>
  </si>
  <si>
    <t>if M, CALL adr</t>
  </si>
  <si>
    <t>CPI</t>
  </si>
  <si>
    <t>CALL $38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</si>
  <si>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</si>
  <si>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</si>
  <si>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</si>
  <si>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</si>
  <si>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</si>
  <si>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</si>
  <si>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</si>
  <si>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</si>
  <si>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</si>
  <si>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</si>
  <si>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</si>
  <si>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</si>
  <si>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</si>
  <si>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</si>
  <si>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</si>
  <si>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</si>
  <si>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</si>
  <si>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</si>
  <si>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</si>
  <si>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</si>
  <si>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</si>
  <si>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</si>
  <si>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</si>
  <si>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</si>
  <si>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</si>
  <si>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</si>
  <si>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</si>
  <si>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</si>
  <si>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</si>
  <si>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</si>
  <si>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</si>
  <si>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</si>
  <si>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</si>
  <si>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</si>
  <si>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</si>
  <si>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</si>
  <si>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</si>
  <si>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</si>
  <si>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</si>
  <si>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</si>
  <si>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</si>
  <si>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</si>
  <si>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</si>
  <si>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</si>
  <si>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</si>
  <si>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</si>
  <si>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</si>
  <si>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</si>
  <si>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</si>
  <si>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</si>
  <si>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</si>
  <si>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</si>
  <si>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</si>
  <si>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</si>
  <si>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</si>
  <si>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</si>
  <si>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</si>
  <si>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</si>
  <si>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</si>
  <si>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</si>
  <si>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</si>
  <si>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</si>
  <si>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</si>
  <si>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</si>
  <si>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</si>
  <si>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</si>
  <si>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</si>
  <si>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</si>
  <si>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</si>
  <si>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</si>
  <si>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</si>
  <si>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</si>
  <si>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</si>
  <si>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</si>
  <si>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</si>
  <si>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</si>
  <si>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</si>
  <si>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</si>
  <si>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</si>
  <si>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</si>
  <si>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</si>
  <si>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</si>
  <si>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</si>
  <si>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</si>
  <si>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</si>
  <si>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</si>
  <si>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</si>
  <si>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</si>
  <si>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</si>
  <si>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</si>
  <si>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</si>
  <si>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</si>
  <si>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</si>
  <si>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</si>
  <si>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</si>
  <si>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</si>
  <si>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</si>
  <si>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</si>
  <si>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</si>
  <si>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</si>
  <si>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</si>
  <si>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</si>
  <si>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</si>
  <si>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</si>
  <si>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</si>
  <si>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</si>
  <si>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</si>
  <si>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</si>
  <si>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</si>
  <si>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</si>
  <si>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</si>
  <si>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</si>
  <si>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</si>
  <si>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</si>
  <si>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</si>
  <si>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</si>
  <si>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</si>
  <si>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</si>
  <si>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</si>
  <si>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</si>
  <si>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</si>
  <si>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</si>
  <si>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</si>
  <si>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</si>
  <si>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</si>
  <si>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</si>
  <si>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</si>
  <si>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</si>
  <si>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</si>
  <si>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</si>
  <si>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</si>
  <si>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</si>
  <si>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</si>
  <si>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</si>
  <si>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</si>
  <si>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</si>
  <si>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</si>
  <si>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</si>
  <si>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</si>
  <si>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</si>
  <si>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</si>
  <si>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</si>
  <si>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</si>
  <si>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</si>
  <si>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</si>
  <si>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</si>
  <si>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</si>
  <si>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</si>
  <si>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</si>
  <si>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</si>
  <si>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</si>
  <si>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</si>
  <si>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</si>
  <si>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</si>
  <si>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</si>
  <si>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</si>
  <si>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</si>
  <si>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</si>
  <si>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</si>
  <si>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</si>
  <si>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</si>
  <si>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</si>
  <si>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</si>
  <si>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</si>
  <si>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</si>
  <si>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</si>
  <si>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</si>
  <si>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</si>
  <si>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</si>
  <si>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</si>
  <si>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</si>
  <si>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</si>
  <si>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</si>
  <si>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</si>
  <si>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</si>
  <si>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</si>
  <si>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</si>
  <si>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</si>
  <si>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</si>
  <si>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</si>
  <si>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</si>
  <si>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</si>
  <si>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</si>
  <si>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</si>
  <si>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</si>
  <si>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</si>
  <si>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</si>
  <si>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</si>
  <si>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</si>
  <si>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</si>
  <si>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</si>
  <si>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</si>
  <si>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</si>
  <si>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</si>
  <si>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</si>
  <si>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</si>
  <si>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</si>
  <si>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</si>
  <si>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</si>
  <si>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</si>
  <si>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</si>
  <si>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</si>
  <si>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</si>
  <si>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</si>
  <si>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</si>
  <si>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</si>
  <si>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</si>
  <si>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</si>
  <si>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</si>
  <si>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</si>
  <si>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</si>
  <si>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</si>
  <si>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</si>
  <si>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</si>
  <si>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</si>
  <si>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</si>
  <si>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</si>
  <si>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</si>
  <si>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</si>
  <si>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</si>
  <si>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</si>
  <si>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</si>
  <si>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</si>
  <si>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</si>
  <si>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</si>
  <si>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</si>
  <si>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</si>
  <si>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</si>
  <si>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</si>
  <si>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</si>
  <si>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</si>
  <si>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</si>
  <si>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</si>
  <si>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</si>
  <si>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</si>
  <si>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</si>
  <si>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</si>
  <si>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</si>
  <si>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</si>
  <si>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</si>
  <si>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</si>
  <si>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</si>
  <si>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</si>
  <si>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</si>
  <si>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</si>
  <si>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</si>
  <si>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</si>
  <si>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</si>
  <si>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</si>
  <si>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</si>
  <si>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</si>
  <si>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</si>
  <si>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</si>
  <si>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</si>
  <si>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</si>
  <si>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States</t>
  </si>
  <si>
    <t>STAX B</t>
  </si>
  <si>
    <t>INX B</t>
  </si>
  <si>
    <t>INR B</t>
  </si>
  <si>
    <t>DCR B</t>
  </si>
  <si>
    <t>DAD B</t>
  </si>
  <si>
    <t>LDAX B</t>
  </si>
  <si>
    <t>DCX B</t>
  </si>
  <si>
    <t>INR C</t>
  </si>
  <si>
    <t>DCR C</t>
  </si>
  <si>
    <t>STAX D</t>
  </si>
  <si>
    <t>INX D</t>
  </si>
  <si>
    <t>INR D</t>
  </si>
  <si>
    <t>DCR D</t>
  </si>
  <si>
    <t>DAD D</t>
  </si>
  <si>
    <t>LDAX D</t>
  </si>
  <si>
    <t>DCX D</t>
  </si>
  <si>
    <t>INR E</t>
  </si>
  <si>
    <t>DCR E</t>
  </si>
  <si>
    <t>SHLD a16</t>
  </si>
  <si>
    <t>INX H</t>
  </si>
  <si>
    <t>INR H</t>
  </si>
  <si>
    <t>DCR H</t>
  </si>
  <si>
    <t>DAD H</t>
  </si>
  <si>
    <t>LHLD a16</t>
  </si>
  <si>
    <t>DCX H</t>
  </si>
  <si>
    <t>INR L</t>
  </si>
  <si>
    <t>DCR L</t>
  </si>
  <si>
    <t>STA a16</t>
  </si>
  <si>
    <t>INX SP</t>
  </si>
  <si>
    <t>INR M</t>
  </si>
  <si>
    <t>DCR M</t>
  </si>
  <si>
    <t>DAD SP</t>
  </si>
  <si>
    <t>LDA a16</t>
  </si>
  <si>
    <t>DCX SP</t>
  </si>
  <si>
    <t>INR A</t>
  </si>
  <si>
    <t>DCR A</t>
  </si>
  <si>
    <t>ADD B</t>
  </si>
  <si>
    <t>ADD C</t>
  </si>
  <si>
    <t>ADD D</t>
  </si>
  <si>
    <t>ADD E</t>
  </si>
  <si>
    <t>ADD H</t>
  </si>
  <si>
    <t>ADD L</t>
  </si>
  <si>
    <t>ADD M</t>
  </si>
  <si>
    <t>ADD A</t>
  </si>
  <si>
    <t>ADC B</t>
  </si>
  <si>
    <t>ADC C</t>
  </si>
  <si>
    <t>ADC D</t>
  </si>
  <si>
    <t>ADC E</t>
  </si>
  <si>
    <t>ADC H</t>
  </si>
  <si>
    <t>ADC L</t>
  </si>
  <si>
    <t>ADC M</t>
  </si>
  <si>
    <t>ADC A</t>
  </si>
  <si>
    <t>SUB B</t>
  </si>
  <si>
    <t>SUB C</t>
  </si>
  <si>
    <t>SUB D</t>
  </si>
  <si>
    <t>SUB E</t>
  </si>
  <si>
    <t>SUB H</t>
  </si>
  <si>
    <t>SUB L</t>
  </si>
  <si>
    <t>SUB M</t>
  </si>
  <si>
    <t>SUB A</t>
  </si>
  <si>
    <t>SBB B</t>
  </si>
  <si>
    <t>SBB C</t>
  </si>
  <si>
    <t>SBB D</t>
  </si>
  <si>
    <t>SBB E</t>
  </si>
  <si>
    <t>SBB H</t>
  </si>
  <si>
    <t>SBB L</t>
  </si>
  <si>
    <t>SBB M</t>
  </si>
  <si>
    <t>SBB A</t>
  </si>
  <si>
    <t>ANA B</t>
  </si>
  <si>
    <t>ANA C</t>
  </si>
  <si>
    <t>ANA D</t>
  </si>
  <si>
    <t>ANA E</t>
  </si>
  <si>
    <t>ANA H</t>
  </si>
  <si>
    <t>ANA L</t>
  </si>
  <si>
    <t>ANA M</t>
  </si>
  <si>
    <t>ANA A</t>
  </si>
  <si>
    <t>XRA B</t>
  </si>
  <si>
    <t>XRA C</t>
  </si>
  <si>
    <t>XRA D</t>
  </si>
  <si>
    <t>XRA E</t>
  </si>
  <si>
    <t>XRA H</t>
  </si>
  <si>
    <t>XRA L</t>
  </si>
  <si>
    <t>XRA M</t>
  </si>
  <si>
    <t>XRA A</t>
  </si>
  <si>
    <t>ORA B</t>
  </si>
  <si>
    <t>ORA C</t>
  </si>
  <si>
    <t>ORA D</t>
  </si>
  <si>
    <t>ORA E</t>
  </si>
  <si>
    <t>ORA H</t>
  </si>
  <si>
    <t>ORA L</t>
  </si>
  <si>
    <t>ORA M</t>
  </si>
  <si>
    <t>ORA A</t>
  </si>
  <si>
    <t>CMP B</t>
  </si>
  <si>
    <t>CMP C</t>
  </si>
  <si>
    <t>CMP D</t>
  </si>
  <si>
    <t>CMP E</t>
  </si>
  <si>
    <t>CMP H</t>
  </si>
  <si>
    <t>CMP L</t>
  </si>
  <si>
    <t>CMP M</t>
  </si>
  <si>
    <t>CMP A</t>
  </si>
  <si>
    <t>POP B</t>
  </si>
  <si>
    <t>JNZ a16</t>
  </si>
  <si>
    <t>JMP a16</t>
  </si>
  <si>
    <t>CNZ a16</t>
  </si>
  <si>
    <t>PUSH B</t>
  </si>
  <si>
    <t>ADI d8</t>
  </si>
  <si>
    <t>RST 0</t>
  </si>
  <si>
    <t>JZ a16</t>
  </si>
  <si>
    <t>CZ a16</t>
  </si>
  <si>
    <t>CALL a16</t>
  </si>
  <si>
    <t>ACI d8</t>
  </si>
  <si>
    <t>RST 1</t>
  </si>
  <si>
    <t>POP D</t>
  </si>
  <si>
    <t>JNC a16</t>
  </si>
  <si>
    <t>OUT d8</t>
  </si>
  <si>
    <t>CNC a16</t>
  </si>
  <si>
    <t>PUSH D</t>
  </si>
  <si>
    <t>SUI d8</t>
  </si>
  <si>
    <t>JC a16</t>
  </si>
  <si>
    <t>IN d8</t>
  </si>
  <si>
    <t>CC a16</t>
  </si>
  <si>
    <t>SBI d8</t>
  </si>
  <si>
    <t>RST 3</t>
  </si>
  <si>
    <t>POP H</t>
  </si>
  <si>
    <t>JPO a16</t>
  </si>
  <si>
    <t>CPO a16</t>
  </si>
  <si>
    <t>PUSH H</t>
  </si>
  <si>
    <t>ANI d8</t>
  </si>
  <si>
    <t>RST 4</t>
  </si>
  <si>
    <t>JPE a16</t>
  </si>
  <si>
    <t>CPE a16</t>
  </si>
  <si>
    <t>XRI d8</t>
  </si>
  <si>
    <t>RST 5</t>
  </si>
  <si>
    <t>POP PSW</t>
  </si>
  <si>
    <t>JP a16</t>
  </si>
  <si>
    <t>CP a16</t>
  </si>
  <si>
    <t>PUSH PSW</t>
  </si>
  <si>
    <t>ORI d8</t>
  </si>
  <si>
    <t>RST 6</t>
  </si>
  <si>
    <t>JM a16</t>
  </si>
  <si>
    <t>CM a16</t>
  </si>
  <si>
    <t>CPI d8</t>
  </si>
  <si>
    <t>RST 7</t>
  </si>
  <si>
    <t>OpCode</t>
  </si>
  <si>
    <t>http://www.emulator101.com/reference/8080-by-opcode.html</t>
  </si>
  <si>
    <t>Z</t>
  </si>
  <si>
    <t>Param</t>
  </si>
  <si>
    <t>........</t>
  </si>
  <si>
    <t>.......C</t>
  </si>
  <si>
    <t>.......1</t>
  </si>
  <si>
    <t>BC as 16 bit register</t>
  </si>
  <si>
    <t>DE as 16 bit register</t>
  </si>
  <si>
    <t>HL as 16 bit register</t>
  </si>
  <si>
    <t>memory pointed by (HL)</t>
  </si>
  <si>
    <t>Stack pointer (16bit)</t>
  </si>
  <si>
    <t>Program counter (16bit)</t>
  </si>
  <si>
    <t>Carry flag; set to carry out of bit 7 in result</t>
  </si>
  <si>
    <t>Parity flag; set if the number of bits in the result is even, and reset if it's odd</t>
  </si>
  <si>
    <t>Auxiliary Carry (AC) flag; set to carry out of bit 3 in result</t>
  </si>
  <si>
    <t>Zero flag; set if the result was zero, reset otherwise</t>
  </si>
  <si>
    <t>Sign flag; set to bit 7 of result</t>
  </si>
  <si>
    <t>### Legenda</t>
  </si>
  <si>
    <t xml:space="preserve">The duration of conditional calls and returns is different when the branch is taken or not. This is indicated by two numbers separated by “/”. The lower number (on the left side of “/”) is the duration of the instruction when there is no branch, and the higher number (on the right side of “/”) is the duration of the instruction when the branch is taken. </t>
  </si>
  <si>
    <t>Name</t>
  </si>
  <si>
    <t>Inst</t>
  </si>
  <si>
    <t>K</t>
  </si>
  <si>
    <t>Undocumented signed Underflow Indicator (UI/X5) and comparison flag</t>
  </si>
  <si>
    <t>V</t>
  </si>
  <si>
    <t>Undocumented signed overflow flag</t>
  </si>
  <si>
    <t>SZKA-PVC</t>
  </si>
  <si>
    <t>LXI B, d16</t>
  </si>
  <si>
    <t>..K.....</t>
  </si>
  <si>
    <t>SZKA.PV.</t>
  </si>
  <si>
    <t>SZ.A.PV.</t>
  </si>
  <si>
    <t>MVI B, d8</t>
  </si>
  <si>
    <t>......VC</t>
  </si>
  <si>
    <t>DSUB</t>
  </si>
  <si>
    <t>SZKA.PVC</t>
  </si>
  <si>
    <t>MVI C, d8</t>
  </si>
  <si>
    <t>......0C</t>
  </si>
  <si>
    <t>ARHL</t>
  </si>
  <si>
    <t>LXI D, d16</t>
  </si>
  <si>
    <t>MVI D, d8</t>
  </si>
  <si>
    <t>RDEL</t>
  </si>
  <si>
    <t>MVI E, d8</t>
  </si>
  <si>
    <t>RIM</t>
  </si>
  <si>
    <t>Read Interrupt Mask and serial data into A</t>
  </si>
  <si>
    <t>LXI H, d16</t>
  </si>
  <si>
    <t>MVI H, d8</t>
  </si>
  <si>
    <t>LDHI</t>
  </si>
  <si>
    <t>LDHI d8</t>
  </si>
  <si>
    <t>MVI L, d8</t>
  </si>
  <si>
    <t>SIM</t>
  </si>
  <si>
    <t>Set Interrupt Mask and serial data from A</t>
  </si>
  <si>
    <t>LXI SP, d16</t>
  </si>
  <si>
    <t>MVI M, d8</t>
  </si>
  <si>
    <t>LDSI</t>
  </si>
  <si>
    <t>LDSI d8</t>
  </si>
  <si>
    <t>MVI A, d8</t>
  </si>
  <si>
    <t>MOV B, B</t>
  </si>
  <si>
    <t>MOV B, C</t>
  </si>
  <si>
    <t>MOV B, D</t>
  </si>
  <si>
    <t>MOV B, E</t>
  </si>
  <si>
    <t>MOV B, H</t>
  </si>
  <si>
    <t>MOV B, L</t>
  </si>
  <si>
    <t>MOV B, M</t>
  </si>
  <si>
    <t>MOV B, A</t>
  </si>
  <si>
    <t>MOV C, B</t>
  </si>
  <si>
    <t>MOV C, C</t>
  </si>
  <si>
    <t>MOV C, D</t>
  </si>
  <si>
    <t>MOV C, E</t>
  </si>
  <si>
    <t>MOV C, H</t>
  </si>
  <si>
    <t>MOV C, L</t>
  </si>
  <si>
    <t>MOV C, M</t>
  </si>
  <si>
    <t>MOV C, A</t>
  </si>
  <si>
    <t>MOV D, B</t>
  </si>
  <si>
    <t>MOV D, C</t>
  </si>
  <si>
    <t>MOV D, D</t>
  </si>
  <si>
    <t>MOV D, E</t>
  </si>
  <si>
    <t>MOV D, H</t>
  </si>
  <si>
    <t>MOV D, L</t>
  </si>
  <si>
    <t>MOV D, M</t>
  </si>
  <si>
    <t>MOV D, A</t>
  </si>
  <si>
    <t>MOV E, B</t>
  </si>
  <si>
    <t>MOV E, C</t>
  </si>
  <si>
    <t>MOV E, D</t>
  </si>
  <si>
    <t>MOV E, E</t>
  </si>
  <si>
    <t>MOV E, H</t>
  </si>
  <si>
    <t>MOV E, L</t>
  </si>
  <si>
    <t>MOV E, M</t>
  </si>
  <si>
    <t>MOV E, A</t>
  </si>
  <si>
    <t>MOV H, B</t>
  </si>
  <si>
    <t>MOV H, C</t>
  </si>
  <si>
    <t>MOV H, D</t>
  </si>
  <si>
    <t>MOV H, E</t>
  </si>
  <si>
    <t>MOV H, H</t>
  </si>
  <si>
    <t>MOV H, L</t>
  </si>
  <si>
    <t>MOV H, M</t>
  </si>
  <si>
    <t>MOV H, A</t>
  </si>
  <si>
    <t>MOV L, B</t>
  </si>
  <si>
    <t>MOV L, C</t>
  </si>
  <si>
    <t>MOV L, D</t>
  </si>
  <si>
    <t>MOV L, E</t>
  </si>
  <si>
    <t>MOV L, H</t>
  </si>
  <si>
    <t>MOV L, L</t>
  </si>
  <si>
    <t>MOV L, M</t>
  </si>
  <si>
    <t>MOV L, A</t>
  </si>
  <si>
    <t>MOV M, B</t>
  </si>
  <si>
    <t>MOV M, C</t>
  </si>
  <si>
    <t>MOV M, D</t>
  </si>
  <si>
    <t>MOV M, E</t>
  </si>
  <si>
    <t>MOV M, H</t>
  </si>
  <si>
    <t>MOV M, L</t>
  </si>
  <si>
    <t>MOV M, A</t>
  </si>
  <si>
    <t>MOV A, B</t>
  </si>
  <si>
    <t>MOV A, C</t>
  </si>
  <si>
    <t>MOV A, D</t>
  </si>
  <si>
    <t>MOV A, E</t>
  </si>
  <si>
    <t>MOV A, H</t>
  </si>
  <si>
    <t>MOV A, L</t>
  </si>
  <si>
    <t>MOV A, M</t>
  </si>
  <si>
    <t>MOV A, A</t>
  </si>
  <si>
    <t>SZK1.P00</t>
  </si>
  <si>
    <t>SZK0.P.0</t>
  </si>
  <si>
    <t>SZK0.P00</t>
  </si>
  <si>
    <t>6|12</t>
  </si>
  <si>
    <t>2|3</t>
  </si>
  <si>
    <t>7|10</t>
  </si>
  <si>
    <t>2|5</t>
  </si>
  <si>
    <t>9|18</t>
  </si>
  <si>
    <t>RSTV</t>
  </si>
  <si>
    <t>Call $0040 if overflag (V) flag is set</t>
  </si>
  <si>
    <t>SHLX</t>
  </si>
  <si>
    <t>JNK</t>
  </si>
  <si>
    <t>JNK a16</t>
  </si>
  <si>
    <t>LHLX</t>
  </si>
  <si>
    <t>JK</t>
  </si>
  <si>
    <t>JK a16</t>
  </si>
  <si>
    <t>|:-----|-------------|</t>
  </si>
  <si>
    <t>B,d16</t>
  </si>
  <si>
    <t>B,d8</t>
  </si>
  <si>
    <t>C,d8</t>
  </si>
  <si>
    <t>D,d16</t>
  </si>
  <si>
    <t>D,d8</t>
  </si>
  <si>
    <t>E,d8</t>
  </si>
  <si>
    <t>H,d16</t>
  </si>
  <si>
    <t>H,d8</t>
  </si>
  <si>
    <t>L,d8</t>
  </si>
  <si>
    <t>SP,d16</t>
  </si>
  <si>
    <t>M,d8</t>
  </si>
  <si>
    <t>A,d8</t>
  </si>
  <si>
    <t>B,B</t>
  </si>
  <si>
    <t>B,C</t>
  </si>
  <si>
    <t>B,D</t>
  </si>
  <si>
    <t>B,E</t>
  </si>
  <si>
    <t>B,H</t>
  </si>
  <si>
    <t>B,L</t>
  </si>
  <si>
    <t>B,M</t>
  </si>
  <si>
    <t>B,A</t>
  </si>
  <si>
    <t>C,B</t>
  </si>
  <si>
    <t>C,C</t>
  </si>
  <si>
    <t>C,D</t>
  </si>
  <si>
    <t>C,E</t>
  </si>
  <si>
    <t>C,H</t>
  </si>
  <si>
    <t>C,L</t>
  </si>
  <si>
    <t>C,M</t>
  </si>
  <si>
    <t>C,A</t>
  </si>
  <si>
    <t>D,B</t>
  </si>
  <si>
    <t>D,C</t>
  </si>
  <si>
    <t>D,D</t>
  </si>
  <si>
    <t>D,E</t>
  </si>
  <si>
    <t>D,H</t>
  </si>
  <si>
    <t>D,L</t>
  </si>
  <si>
    <t>D,M</t>
  </si>
  <si>
    <t>D,A</t>
  </si>
  <si>
    <t>E,B</t>
  </si>
  <si>
    <t>E,C</t>
  </si>
  <si>
    <t>E,D</t>
  </si>
  <si>
    <t>E,E</t>
  </si>
  <si>
    <t>E,H</t>
  </si>
  <si>
    <t>E,L</t>
  </si>
  <si>
    <t>E,M</t>
  </si>
  <si>
    <t>E,A</t>
  </si>
  <si>
    <t>H,B</t>
  </si>
  <si>
    <t>H,C</t>
  </si>
  <si>
    <t>H,D</t>
  </si>
  <si>
    <t>H,E</t>
  </si>
  <si>
    <t>H,H</t>
  </si>
  <si>
    <t>H,L</t>
  </si>
  <si>
    <t>H,M</t>
  </si>
  <si>
    <t>H,A</t>
  </si>
  <si>
    <t>L,B</t>
  </si>
  <si>
    <t>L,C</t>
  </si>
  <si>
    <t>L,D</t>
  </si>
  <si>
    <t>L,E</t>
  </si>
  <si>
    <t>L,H</t>
  </si>
  <si>
    <t>L,L</t>
  </si>
  <si>
    <t>L,M</t>
  </si>
  <si>
    <t>L,A</t>
  </si>
  <si>
    <t>M,B</t>
  </si>
  <si>
    <t>M,C</t>
  </si>
  <si>
    <t>M,D</t>
  </si>
  <si>
    <t>M,E</t>
  </si>
  <si>
    <t>M,H</t>
  </si>
  <si>
    <t>M,L</t>
  </si>
  <si>
    <t>M,A</t>
  </si>
  <si>
    <t>A,B</t>
  </si>
  <si>
    <t>A,C</t>
  </si>
  <si>
    <t>A,D</t>
  </si>
  <si>
    <t>A,E</t>
  </si>
  <si>
    <t>A,H</t>
  </si>
  <si>
    <t>A,L</t>
  </si>
  <si>
    <t>A,M</t>
  </si>
  <si>
    <t>A,A</t>
  </si>
  <si>
    <t>ind_reg</t>
  </si>
  <si>
    <t>abs</t>
  </si>
  <si>
    <t>absolute address</t>
  </si>
  <si>
    <t>indirect via register</t>
  </si>
  <si>
    <t>B &lt;- byte_2</t>
  </si>
  <si>
    <t>C &lt;- byte_2</t>
  </si>
  <si>
    <t>D &lt;- byte_2</t>
  </si>
  <si>
    <t>E &lt;- byte_2</t>
  </si>
  <si>
    <t>H &lt;- byte_2</t>
  </si>
  <si>
    <t>L &lt;- byte_2</t>
  </si>
  <si>
    <t>(HL) &lt;- byte_2</t>
  </si>
  <si>
    <t>A &lt;- byte_2</t>
  </si>
  <si>
    <t>B &lt;- byte_3; C &lt;- byte_2</t>
  </si>
  <si>
    <t>D &lt;- byte_3; E &lt;- byte_2</t>
  </si>
  <si>
    <t>H &lt;- byte_3; L &lt;- byte_2</t>
  </si>
  <si>
    <t>SP.hi &lt;- byte_3; SP.lo &lt;- byte_2</t>
  </si>
  <si>
    <t>No Operation</t>
  </si>
  <si>
    <t>BC &lt;- BC + 1</t>
  </si>
  <si>
    <t>B &lt;- B + 1</t>
  </si>
  <si>
    <t>C &lt;- C + 1</t>
  </si>
  <si>
    <t>D &lt;- D + 1</t>
  </si>
  <si>
    <t>H &lt;- H + 1</t>
  </si>
  <si>
    <t>L &lt;- L + 1</t>
  </si>
  <si>
    <t>(HL) &lt;- (HL) + 1</t>
  </si>
  <si>
    <t>A &lt;- A + 1</t>
  </si>
  <si>
    <t>B &lt;- B - 1</t>
  </si>
  <si>
    <t>D &lt;- D - 1</t>
  </si>
  <si>
    <t>E &lt;- E - 1</t>
  </si>
  <si>
    <t>H &lt;- H - 1</t>
  </si>
  <si>
    <t>L &lt;- L - 1</t>
  </si>
  <si>
    <t>(HL) &lt;- (HL) - 1</t>
  </si>
  <si>
    <t>A &lt;- A - 1</t>
  </si>
  <si>
    <t>A &lt;- A &lt;&lt; 1; bit 0 &lt;- prev bit 7; CY &lt;- prev bit 7</t>
  </si>
  <si>
    <t>HL &lt;- HL + BC</t>
  </si>
  <si>
    <t>BC &lt;- BC - 1</t>
  </si>
  <si>
    <t>A &lt;- A &gt;&gt; 1; bit 7 &lt;- prev bit 0; CY &lt;- prev bit 0</t>
  </si>
  <si>
    <t>A &lt;- A &lt;&lt; 1; bit 0 &lt;- prev CY; CY &lt;- prev bit 7</t>
  </si>
  <si>
    <t>HL &lt;- HL + DE</t>
  </si>
  <si>
    <t>DE &lt;- DE - 1</t>
  </si>
  <si>
    <t>A &lt;- A &gt;&gt; 1; bit 7 &lt;- prev bit 7; CY &lt;- prev bit 0</t>
  </si>
  <si>
    <t>HL &lt;- HL - 1</t>
  </si>
  <si>
    <t>SP &lt;- SP + 1</t>
  </si>
  <si>
    <t>CY &lt;- 1</t>
  </si>
  <si>
    <t>HL &lt;- HL + SP</t>
  </si>
  <si>
    <t>SP &lt;- SP - 1</t>
  </si>
  <si>
    <t>C &lt;- C - 1</t>
  </si>
  <si>
    <t>E &lt;- E + 1</t>
  </si>
  <si>
    <t>(adr) &lt;- L; (adr + 1) &lt;- H</t>
  </si>
  <si>
    <t>if NCY, PC &lt;- adr</t>
  </si>
  <si>
    <t>if CY, PC &lt;- adr</t>
  </si>
  <si>
    <t>L &lt;- (adr); H &lt;- (adr + 1)</t>
  </si>
  <si>
    <t>HL &lt;- HL + HL</t>
  </si>
  <si>
    <t>CY &lt;- !CY</t>
  </si>
  <si>
    <t>A &lt;- A - D</t>
  </si>
  <si>
    <t>A &lt;- A - H</t>
  </si>
  <si>
    <t>A &lt;- A - (HL)</t>
  </si>
  <si>
    <t>C &lt;- (SP); B &lt;- (SP + 1); SP &lt;- SP + 2</t>
  </si>
  <si>
    <t>PC.lo &lt;- (SP); PC.hi &lt;- (SP + 1); SP &lt;- SP + 2</t>
  </si>
  <si>
    <t>E &lt;- (SP); D &lt;- (SP + 1); SP &lt;- SP + 2</t>
  </si>
  <si>
    <t>L &lt;- (SP); H &lt;- (SP + 1); SP &lt;- SP + 2</t>
  </si>
  <si>
    <t>flags &lt;- (SP); A &lt;- (SP + 1); SP &lt;- SP + 2</t>
  </si>
  <si>
    <t>(SP - 2) &lt;- C; (SP - 1) &lt;- B; SP &lt;- SP - 2</t>
  </si>
  <si>
    <t>(SP - 2) &lt;- E; (SP - 1) &lt;- D; SP &lt;- SP - 2</t>
  </si>
  <si>
    <t>(SP - 2) &lt;- L; (SP - 1) &lt;- H; SP &lt;- SP - 2</t>
  </si>
  <si>
    <t>(SP - 2) &lt;- flags; (SP - 1) &lt;- A; SP &lt;- SP - 2</t>
  </si>
  <si>
    <t>L &lt;- &gt; (SP); H &lt;- &gt; (SP + 1)</t>
  </si>
  <si>
    <t>H &lt;- &gt; D; L &lt;- &gt; E</t>
  </si>
  <si>
    <t>PC &lt;- adr</t>
  </si>
  <si>
    <t>A &lt;- A + byte_2</t>
  </si>
  <si>
    <t>(SP - 1) &lt;- PC.hi; (SP - 2) &lt;- PC.lo; SP &lt;- SP - 2; PC &lt;- adr</t>
  </si>
  <si>
    <t>A &lt;- A + byte_2 + CY</t>
  </si>
  <si>
    <t>A &lt;- A - byte_2</t>
  </si>
  <si>
    <t>A &lt;- A - byte_2 - CY</t>
  </si>
  <si>
    <t>A &lt;- A &amp; byte_2</t>
  </si>
  <si>
    <t>A &lt;- A ^ byte_2</t>
  </si>
  <si>
    <t>PC &lt;- HL</t>
  </si>
  <si>
    <t>if P, CALL adr</t>
  </si>
  <si>
    <t>A &lt;- A | byte_2</t>
  </si>
  <si>
    <t>SP &lt;- HL</t>
  </si>
  <si>
    <t>A - byte_2</t>
  </si>
  <si>
    <t>Special</t>
  </si>
  <si>
    <t>if NK, PC &lt;- adr</t>
  </si>
  <si>
    <t>if K, PC &lt;- adr</t>
  </si>
  <si>
    <t>HL &lt;- HL - BC</t>
  </si>
  <si>
    <t>DE &lt;- HL + byte_2</t>
  </si>
  <si>
    <t>DE &lt;- SP + byte_2</t>
  </si>
  <si>
    <t>L &lt;- (DE); H &lt;- (DE + 1)</t>
  </si>
  <si>
    <t>(DE) &lt;- L; (DE + 1) &lt;- H</t>
  </si>
  <si>
    <t>Cy &lt;- D7 ; DE &lt;- DE &lt;&lt; 1; E0 &lt;- 0</t>
  </si>
  <si>
    <t>Cy &lt;- H7 ; HL &lt;- HL &gt;&gt; 1 ; H7 &lt;- Cy</t>
  </si>
  <si>
    <t>RST 2</t>
  </si>
  <si>
    <t>imm</t>
  </si>
  <si>
    <t>reg</t>
  </si>
  <si>
    <t>..1...1.</t>
  </si>
  <si>
    <t>Intruction Types</t>
  </si>
  <si>
    <t>arith</t>
  </si>
  <si>
    <t xml:space="preserve"> Arithmetic instructions </t>
  </si>
  <si>
    <t>branch</t>
  </si>
  <si>
    <t xml:space="preserve"> Branch and program flow instructions </t>
  </si>
  <si>
    <t>control</t>
  </si>
  <si>
    <t xml:space="preserve"> I/O and machine control instructions </t>
  </si>
  <si>
    <t>data</t>
  </si>
  <si>
    <t xml:space="preserve"> Data transfer instructions </t>
  </si>
  <si>
    <t>illegal</t>
  </si>
  <si>
    <t xml:space="preserve">Illegal/undocumented instructions </t>
  </si>
  <si>
    <t>logic</t>
  </si>
  <si>
    <t xml:space="preserve"> Logical instructions</t>
  </si>
  <si>
    <t>stack</t>
  </si>
  <si>
    <t xml:space="preserve"> Stack instructions </t>
  </si>
  <si>
    <t>Group</t>
  </si>
  <si>
    <t>immediate (8 or 16bit)</t>
  </si>
  <si>
    <t>register or register pair</t>
  </si>
  <si>
    <t>### Instruction Groups</t>
  </si>
  <si>
    <t>| Group | Description |</t>
  </si>
  <si>
    <t>|:----:| ------ | ----- | ----- | ---- | ------:| ------:| ------:| -------------- | ------- | ---------- 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</si>
</sst>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/>
    </xf>
    <xf numFmtId="0" fontId="7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J40"/>
  <sheetViews>
    <sheetView tabSelected="1" workbookViewId="0"/>
  </sheetViews>
  <sheetFormatPr defaultRowHeight="15" x14ac:dyDescent="0.25"/>
  <cols>
    <col min="1" max="1" width="11" bestFit="1" customWidth="1"/>
    <col min="2" max="2" width="28.7109375" customWidth="1"/>
    <col min="3" max="3" width="5.7109375" customWidth="1"/>
    <col min="4" max="4" width="2.28515625" bestFit="1" customWidth="1"/>
    <col min="5" max="5" width="69.85546875" bestFit="1" customWidth="1"/>
    <col min="6" max="6" width="5.7109375" customWidth="1"/>
    <col min="7" max="7" width="9" bestFit="1" customWidth="1"/>
    <col min="8" max="8" width="35.5703125" bestFit="1" customWidth="1"/>
  </cols>
  <sheetData>
    <row r="1" spans="1:8" ht="18.75" x14ac:dyDescent="0.3">
      <c r="A1" s="2" t="s">
        <v>17</v>
      </c>
      <c r="B1" s="3">
        <v>8085</v>
      </c>
      <c r="C1" s="3"/>
    </row>
    <row r="3" spans="1:8" x14ac:dyDescent="0.25">
      <c r="A3" s="4" t="s">
        <v>24</v>
      </c>
    </row>
    <row r="4" spans="1:8" x14ac:dyDescent="0.25">
      <c r="B4" s="6" t="s">
        <v>42</v>
      </c>
      <c r="C4" s="6"/>
    </row>
    <row r="5" spans="1:8" x14ac:dyDescent="0.25">
      <c r="B5" s="6" t="s">
        <v>685</v>
      </c>
      <c r="C5" s="6"/>
    </row>
    <row r="7" spans="1:8" x14ac:dyDescent="0.25">
      <c r="A7" s="22" t="s">
        <v>18</v>
      </c>
      <c r="B7" s="22"/>
      <c r="D7" s="22" t="s">
        <v>20</v>
      </c>
      <c r="E7" s="22"/>
      <c r="G7" s="22" t="s">
        <v>40</v>
      </c>
      <c r="H7" s="22"/>
    </row>
    <row r="8" spans="1:8" x14ac:dyDescent="0.25">
      <c r="A8" s="4" t="s">
        <v>10</v>
      </c>
      <c r="B8" t="str">
        <f>A8&amp;" 8 bit register"</f>
        <v>A 8 bit register</v>
      </c>
      <c r="D8" s="4" t="s">
        <v>32</v>
      </c>
      <c r="E8" s="8" t="s">
        <v>701</v>
      </c>
      <c r="F8" s="8"/>
      <c r="G8" s="23" t="s">
        <v>896</v>
      </c>
      <c r="H8" t="s">
        <v>897</v>
      </c>
    </row>
    <row r="9" spans="1:8" x14ac:dyDescent="0.25">
      <c r="A9" s="4" t="s">
        <v>11</v>
      </c>
      <c r="B9" t="str">
        <f t="shared" ref="B9:B14" si="0">A9&amp;" 8 bit register"</f>
        <v>B 8 bit register</v>
      </c>
      <c r="D9" s="4" t="s">
        <v>686</v>
      </c>
      <c r="E9" s="8" t="s">
        <v>700</v>
      </c>
      <c r="F9" s="8"/>
      <c r="G9" s="23" t="s">
        <v>986</v>
      </c>
      <c r="H9" t="s">
        <v>1005</v>
      </c>
    </row>
    <row r="10" spans="1:8" x14ac:dyDescent="0.25">
      <c r="A10" s="4" t="s">
        <v>13</v>
      </c>
      <c r="B10" t="str">
        <f t="shared" si="0"/>
        <v>C 8 bit register</v>
      </c>
      <c r="D10" s="4" t="s">
        <v>706</v>
      </c>
      <c r="E10" s="8" t="s">
        <v>707</v>
      </c>
      <c r="F10" s="8"/>
      <c r="G10" s="23" t="s">
        <v>12</v>
      </c>
      <c r="H10" t="s">
        <v>41</v>
      </c>
    </row>
    <row r="11" spans="1:8" x14ac:dyDescent="0.25">
      <c r="A11" s="4" t="s">
        <v>14</v>
      </c>
      <c r="B11" t="str">
        <f t="shared" si="0"/>
        <v>D 8 bit register</v>
      </c>
      <c r="D11" s="4" t="s">
        <v>10</v>
      </c>
      <c r="E11" s="8" t="s">
        <v>699</v>
      </c>
      <c r="F11" s="8"/>
      <c r="G11" s="23" t="s">
        <v>895</v>
      </c>
      <c r="H11" t="s">
        <v>898</v>
      </c>
    </row>
    <row r="12" spans="1:8" x14ac:dyDescent="0.25">
      <c r="A12" s="4" t="s">
        <v>15</v>
      </c>
      <c r="B12" t="str">
        <f t="shared" si="0"/>
        <v>E 8 bit register</v>
      </c>
      <c r="D12" s="4" t="s">
        <v>31</v>
      </c>
      <c r="E12" s="8" t="s">
        <v>698</v>
      </c>
      <c r="F12" s="8"/>
      <c r="G12" s="23" t="s">
        <v>987</v>
      </c>
      <c r="H12" t="s">
        <v>1006</v>
      </c>
    </row>
    <row r="13" spans="1:8" x14ac:dyDescent="0.25">
      <c r="A13" s="4" t="s">
        <v>64</v>
      </c>
      <c r="B13" t="str">
        <f t="shared" si="0"/>
        <v>H 8 bit register</v>
      </c>
      <c r="D13" s="4" t="s">
        <v>708</v>
      </c>
      <c r="E13" s="8" t="s">
        <v>709</v>
      </c>
      <c r="F13" s="8"/>
      <c r="G13" s="23"/>
    </row>
    <row r="14" spans="1:8" x14ac:dyDescent="0.25">
      <c r="A14" s="4" t="s">
        <v>68</v>
      </c>
      <c r="B14" t="str">
        <f t="shared" si="0"/>
        <v>L 8 bit register</v>
      </c>
      <c r="D14" s="4" t="s">
        <v>13</v>
      </c>
      <c r="E14" s="8" t="s">
        <v>697</v>
      </c>
      <c r="F14" s="8"/>
      <c r="G14" s="4"/>
    </row>
    <row r="15" spans="1:8" x14ac:dyDescent="0.25">
      <c r="A15" s="4" t="s">
        <v>72</v>
      </c>
      <c r="B15" t="s">
        <v>695</v>
      </c>
      <c r="D15" s="4"/>
      <c r="E15" s="8"/>
      <c r="F15" s="8"/>
      <c r="G15" s="22" t="s">
        <v>989</v>
      </c>
      <c r="H15" s="22"/>
    </row>
    <row r="16" spans="1:8" x14ac:dyDescent="0.25">
      <c r="A16" s="4" t="s">
        <v>19</v>
      </c>
      <c r="B16" t="s">
        <v>696</v>
      </c>
      <c r="D16" s="4"/>
      <c r="E16" s="8"/>
      <c r="F16" s="8"/>
      <c r="G16" s="23" t="s">
        <v>990</v>
      </c>
      <c r="H16" t="s">
        <v>991</v>
      </c>
    </row>
    <row r="17" spans="1:10" x14ac:dyDescent="0.25">
      <c r="A17" s="4" t="s">
        <v>11</v>
      </c>
      <c r="B17" t="s">
        <v>691</v>
      </c>
      <c r="G17" s="23" t="s">
        <v>992</v>
      </c>
      <c r="H17" t="s">
        <v>993</v>
      </c>
    </row>
    <row r="18" spans="1:10" x14ac:dyDescent="0.25">
      <c r="A18" s="4" t="s">
        <v>14</v>
      </c>
      <c r="B18" t="s">
        <v>692</v>
      </c>
      <c r="G18" s="23" t="s">
        <v>994</v>
      </c>
      <c r="H18" t="s">
        <v>995</v>
      </c>
    </row>
    <row r="19" spans="1:10" x14ac:dyDescent="0.25">
      <c r="A19" s="4" t="s">
        <v>64</v>
      </c>
      <c r="B19" t="s">
        <v>693</v>
      </c>
      <c r="G19" s="23" t="s">
        <v>996</v>
      </c>
      <c r="H19" t="s">
        <v>997</v>
      </c>
    </row>
    <row r="20" spans="1:10" x14ac:dyDescent="0.25">
      <c r="A20" s="4" t="s">
        <v>73</v>
      </c>
      <c r="B20" t="s">
        <v>694</v>
      </c>
      <c r="G20" s="23" t="s">
        <v>998</v>
      </c>
      <c r="H20" t="s">
        <v>999</v>
      </c>
    </row>
    <row r="21" spans="1:10" x14ac:dyDescent="0.25">
      <c r="A21" s="4"/>
      <c r="G21" s="23" t="s">
        <v>1000</v>
      </c>
      <c r="H21" t="s">
        <v>1001</v>
      </c>
    </row>
    <row r="22" spans="1:10" x14ac:dyDescent="0.25">
      <c r="A22" s="4"/>
      <c r="G22" s="23" t="s">
        <v>1002</v>
      </c>
      <c r="H22" t="s">
        <v>1003</v>
      </c>
    </row>
    <row r="23" spans="1:10" x14ac:dyDescent="0.25">
      <c r="A23" s="4"/>
    </row>
    <row r="24" spans="1:10" x14ac:dyDescent="0.25">
      <c r="A24" s="4"/>
      <c r="E24" s="14"/>
    </row>
    <row r="25" spans="1:10" x14ac:dyDescent="0.25">
      <c r="A25" s="4"/>
    </row>
    <row r="26" spans="1:10" x14ac:dyDescent="0.25">
      <c r="A26" s="4"/>
    </row>
    <row r="27" spans="1:10" x14ac:dyDescent="0.25">
      <c r="A27" s="4"/>
      <c r="G27" s="4"/>
    </row>
    <row r="28" spans="1:10" x14ac:dyDescent="0.25">
      <c r="A28" s="4"/>
      <c r="G28" s="4"/>
    </row>
    <row r="29" spans="1:10" x14ac:dyDescent="0.25">
      <c r="A29" s="7"/>
      <c r="G29" s="4"/>
      <c r="J29" s="7"/>
    </row>
    <row r="30" spans="1:10" x14ac:dyDescent="0.25">
      <c r="G30" s="4"/>
    </row>
    <row r="31" spans="1:10" x14ac:dyDescent="0.25">
      <c r="G31" s="4"/>
    </row>
    <row r="40" spans="2:3" x14ac:dyDescent="0.25">
      <c r="B40" s="7"/>
      <c r="C40" s="7"/>
    </row>
  </sheetData>
  <mergeCells count="4">
    <mergeCell ref="A7:B7"/>
    <mergeCell ref="D7:E7"/>
    <mergeCell ref="G7:H7"/>
    <mergeCell ref="G15:H1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K257"/>
  <sheetViews>
    <sheetView workbookViewId="0">
      <selection activeCell="D13" sqref="D13"/>
    </sheetView>
  </sheetViews>
  <sheetFormatPr defaultRowHeight="15" x14ac:dyDescent="0.25"/>
  <cols>
    <col min="1" max="1" width="13.5703125" style="11" bestFit="1" customWidth="1"/>
    <col min="2" max="2" width="11" style="1" bestFit="1" customWidth="1"/>
    <col min="3" max="4" width="12.28515625" style="13" customWidth="1"/>
    <col min="5" max="5" width="11" style="1" customWidth="1"/>
    <col min="6" max="6" width="13.5703125" style="12" customWidth="1"/>
    <col min="7" max="8" width="13.5703125" style="13" customWidth="1"/>
    <col min="9" max="9" width="16.140625" style="1" customWidth="1"/>
    <col min="10" max="10" width="14.85546875" style="1" customWidth="1"/>
    <col min="11" max="11" width="74.140625" style="1" bestFit="1" customWidth="1"/>
    <col min="12" max="16384" width="9.140625" style="1"/>
  </cols>
  <sheetData>
    <row r="1" spans="1:11" s="10" customFormat="1" x14ac:dyDescent="0.25">
      <c r="A1" s="10" t="s">
        <v>684</v>
      </c>
      <c r="B1" s="10" t="s">
        <v>705</v>
      </c>
      <c r="C1" s="10" t="s">
        <v>687</v>
      </c>
      <c r="D1" s="10" t="s">
        <v>1004</v>
      </c>
      <c r="E1" s="10" t="s">
        <v>8</v>
      </c>
      <c r="F1" s="10" t="s">
        <v>43</v>
      </c>
      <c r="G1" s="10" t="s">
        <v>9</v>
      </c>
      <c r="H1" s="10" t="s">
        <v>540</v>
      </c>
      <c r="I1" s="14" t="s">
        <v>710</v>
      </c>
      <c r="J1" s="10" t="s">
        <v>23</v>
      </c>
      <c r="K1" s="10" t="s">
        <v>44</v>
      </c>
    </row>
    <row r="2" spans="1:11" x14ac:dyDescent="0.25">
      <c r="A2" s="11" t="s">
        <v>285</v>
      </c>
      <c r="B2" s="1" t="s">
        <v>7</v>
      </c>
      <c r="D2" s="13" t="s">
        <v>994</v>
      </c>
      <c r="E2" s="1" t="s">
        <v>12</v>
      </c>
      <c r="F2" s="12">
        <v>1</v>
      </c>
      <c r="G2" s="13">
        <v>1</v>
      </c>
      <c r="H2" s="13">
        <v>4</v>
      </c>
      <c r="I2" s="1" t="s">
        <v>688</v>
      </c>
      <c r="J2" s="1" t="s">
        <v>7</v>
      </c>
      <c r="K2" s="1" t="s">
        <v>911</v>
      </c>
    </row>
    <row r="3" spans="1:11" x14ac:dyDescent="0.25">
      <c r="A3" s="11" t="s">
        <v>286</v>
      </c>
      <c r="B3" s="1" t="s">
        <v>45</v>
      </c>
      <c r="C3" s="13" t="s">
        <v>820</v>
      </c>
      <c r="D3" s="13" t="s">
        <v>996</v>
      </c>
      <c r="E3" s="1" t="s">
        <v>986</v>
      </c>
      <c r="F3" s="12">
        <v>3</v>
      </c>
      <c r="G3" s="13">
        <v>3</v>
      </c>
      <c r="H3" s="13">
        <v>10</v>
      </c>
      <c r="I3" s="1" t="s">
        <v>688</v>
      </c>
      <c r="J3" s="1" t="s">
        <v>711</v>
      </c>
      <c r="K3" s="1" t="s">
        <v>907</v>
      </c>
    </row>
    <row r="4" spans="1:11" x14ac:dyDescent="0.25">
      <c r="A4" s="11" t="s">
        <v>287</v>
      </c>
      <c r="B4" s="1" t="s">
        <v>46</v>
      </c>
      <c r="C4" s="13" t="s">
        <v>11</v>
      </c>
      <c r="D4" s="13" t="s">
        <v>996</v>
      </c>
      <c r="E4" s="1" t="s">
        <v>895</v>
      </c>
      <c r="F4" s="12">
        <v>1</v>
      </c>
      <c r="G4" s="13">
        <v>2</v>
      </c>
      <c r="H4" s="13">
        <v>7</v>
      </c>
      <c r="I4" s="1" t="s">
        <v>688</v>
      </c>
      <c r="J4" s="1" t="s">
        <v>541</v>
      </c>
      <c r="K4" s="1" t="s">
        <v>47</v>
      </c>
    </row>
    <row r="5" spans="1:11" x14ac:dyDescent="0.25">
      <c r="A5" s="11" t="s">
        <v>288</v>
      </c>
      <c r="B5" s="1" t="s">
        <v>6</v>
      </c>
      <c r="C5" s="13" t="s">
        <v>11</v>
      </c>
      <c r="D5" s="13" t="s">
        <v>990</v>
      </c>
      <c r="E5" s="1" t="s">
        <v>987</v>
      </c>
      <c r="F5" s="12">
        <v>1</v>
      </c>
      <c r="G5" s="13">
        <v>1</v>
      </c>
      <c r="H5" s="13">
        <v>6</v>
      </c>
      <c r="I5" s="1" t="s">
        <v>712</v>
      </c>
      <c r="J5" s="1" t="s">
        <v>542</v>
      </c>
      <c r="K5" s="1" t="s">
        <v>912</v>
      </c>
    </row>
    <row r="6" spans="1:11" x14ac:dyDescent="0.25">
      <c r="A6" s="11" t="s">
        <v>289</v>
      </c>
      <c r="B6" s="1" t="s">
        <v>48</v>
      </c>
      <c r="C6" s="13" t="s">
        <v>11</v>
      </c>
      <c r="D6" s="13" t="s">
        <v>990</v>
      </c>
      <c r="E6" s="1" t="s">
        <v>987</v>
      </c>
      <c r="F6" s="12">
        <v>1</v>
      </c>
      <c r="G6" s="13">
        <v>1</v>
      </c>
      <c r="H6" s="13">
        <v>4</v>
      </c>
      <c r="I6" s="1" t="s">
        <v>713</v>
      </c>
      <c r="J6" s="1" t="s">
        <v>543</v>
      </c>
      <c r="K6" s="1" t="s">
        <v>913</v>
      </c>
    </row>
    <row r="7" spans="1:11" x14ac:dyDescent="0.25">
      <c r="A7" s="11" t="s">
        <v>290</v>
      </c>
      <c r="B7" s="1" t="s">
        <v>49</v>
      </c>
      <c r="C7" s="13" t="s">
        <v>11</v>
      </c>
      <c r="D7" s="13" t="s">
        <v>990</v>
      </c>
      <c r="E7" s="1" t="s">
        <v>987</v>
      </c>
      <c r="F7" s="12">
        <v>1</v>
      </c>
      <c r="G7" s="13">
        <v>1</v>
      </c>
      <c r="H7" s="13">
        <v>4</v>
      </c>
      <c r="I7" s="1" t="s">
        <v>714</v>
      </c>
      <c r="J7" s="1" t="s">
        <v>544</v>
      </c>
      <c r="K7" s="1" t="s">
        <v>920</v>
      </c>
    </row>
    <row r="8" spans="1:11" x14ac:dyDescent="0.25">
      <c r="A8" s="11" t="s">
        <v>291</v>
      </c>
      <c r="B8" s="1" t="s">
        <v>50</v>
      </c>
      <c r="C8" s="13" t="s">
        <v>821</v>
      </c>
      <c r="D8" s="13" t="s">
        <v>996</v>
      </c>
      <c r="E8" s="1" t="s">
        <v>986</v>
      </c>
      <c r="F8" s="12">
        <v>2</v>
      </c>
      <c r="G8" s="13">
        <v>2</v>
      </c>
      <c r="H8" s="13">
        <v>7</v>
      </c>
      <c r="I8" s="1" t="s">
        <v>688</v>
      </c>
      <c r="J8" s="1" t="s">
        <v>715</v>
      </c>
      <c r="K8" s="1" t="s">
        <v>899</v>
      </c>
    </row>
    <row r="9" spans="1:11" x14ac:dyDescent="0.25">
      <c r="A9" s="11" t="s">
        <v>292</v>
      </c>
      <c r="B9" s="1" t="s">
        <v>51</v>
      </c>
      <c r="D9" s="13" t="s">
        <v>1000</v>
      </c>
      <c r="E9" s="1" t="s">
        <v>12</v>
      </c>
      <c r="F9" s="12">
        <v>1</v>
      </c>
      <c r="G9" s="13">
        <v>1</v>
      </c>
      <c r="H9" s="13">
        <v>4</v>
      </c>
      <c r="I9" s="1" t="s">
        <v>716</v>
      </c>
      <c r="J9" s="1" t="s">
        <v>51</v>
      </c>
      <c r="K9" s="1" t="s">
        <v>927</v>
      </c>
    </row>
    <row r="10" spans="1:11" x14ac:dyDescent="0.25">
      <c r="A10" s="11" t="s">
        <v>293</v>
      </c>
      <c r="B10" s="1" t="s">
        <v>717</v>
      </c>
      <c r="D10" s="13" t="s">
        <v>990</v>
      </c>
      <c r="E10" s="1" t="s">
        <v>987</v>
      </c>
      <c r="F10" s="12">
        <v>1</v>
      </c>
      <c r="G10" s="13">
        <v>3</v>
      </c>
      <c r="H10" s="13">
        <v>10</v>
      </c>
      <c r="I10" s="1" t="s">
        <v>718</v>
      </c>
      <c r="J10" s="1" t="s">
        <v>717</v>
      </c>
      <c r="K10" s="1" t="s">
        <v>978</v>
      </c>
    </row>
    <row r="11" spans="1:11" x14ac:dyDescent="0.25">
      <c r="A11" s="11" t="s">
        <v>294</v>
      </c>
      <c r="B11" s="1" t="s">
        <v>52</v>
      </c>
      <c r="C11" s="13" t="s">
        <v>11</v>
      </c>
      <c r="D11" s="13" t="s">
        <v>990</v>
      </c>
      <c r="E11" s="1" t="s">
        <v>987</v>
      </c>
      <c r="F11" s="12">
        <v>1</v>
      </c>
      <c r="G11" s="13">
        <v>3</v>
      </c>
      <c r="H11" s="13">
        <v>10</v>
      </c>
      <c r="I11" s="1" t="s">
        <v>716</v>
      </c>
      <c r="J11" s="1" t="s">
        <v>545</v>
      </c>
      <c r="K11" s="1" t="s">
        <v>928</v>
      </c>
    </row>
    <row r="12" spans="1:11" x14ac:dyDescent="0.25">
      <c r="A12" s="11" t="s">
        <v>295</v>
      </c>
      <c r="B12" s="1" t="s">
        <v>53</v>
      </c>
      <c r="C12" s="13" t="s">
        <v>11</v>
      </c>
      <c r="D12" s="13" t="s">
        <v>996</v>
      </c>
      <c r="E12" s="1" t="s">
        <v>895</v>
      </c>
      <c r="F12" s="12">
        <v>1</v>
      </c>
      <c r="G12" s="13">
        <v>2</v>
      </c>
      <c r="H12" s="13">
        <v>7</v>
      </c>
      <c r="I12" s="1" t="s">
        <v>688</v>
      </c>
      <c r="J12" s="1" t="s">
        <v>546</v>
      </c>
      <c r="K12" s="1" t="s">
        <v>54</v>
      </c>
    </row>
    <row r="13" spans="1:11" x14ac:dyDescent="0.25">
      <c r="A13" s="11" t="s">
        <v>296</v>
      </c>
      <c r="B13" s="1" t="s">
        <v>55</v>
      </c>
      <c r="C13" s="13" t="s">
        <v>11</v>
      </c>
      <c r="D13" s="13" t="s">
        <v>990</v>
      </c>
      <c r="E13" s="1" t="s">
        <v>987</v>
      </c>
      <c r="F13" s="12">
        <v>1</v>
      </c>
      <c r="G13" s="13">
        <v>1</v>
      </c>
      <c r="H13" s="13">
        <v>6</v>
      </c>
      <c r="I13" s="1" t="s">
        <v>712</v>
      </c>
      <c r="J13" s="1" t="s">
        <v>547</v>
      </c>
      <c r="K13" s="1" t="s">
        <v>929</v>
      </c>
    </row>
    <row r="14" spans="1:11" x14ac:dyDescent="0.25">
      <c r="A14" s="11" t="s">
        <v>297</v>
      </c>
      <c r="B14" s="1" t="s">
        <v>48</v>
      </c>
      <c r="C14" s="13" t="s">
        <v>13</v>
      </c>
      <c r="D14" s="13" t="s">
        <v>990</v>
      </c>
      <c r="E14" s="1" t="s">
        <v>987</v>
      </c>
      <c r="F14" s="12">
        <v>1</v>
      </c>
      <c r="G14" s="13">
        <v>1</v>
      </c>
      <c r="H14" s="13">
        <v>4</v>
      </c>
      <c r="I14" s="1" t="s">
        <v>713</v>
      </c>
      <c r="J14" s="1" t="s">
        <v>548</v>
      </c>
      <c r="K14" s="1" t="s">
        <v>914</v>
      </c>
    </row>
    <row r="15" spans="1:11" x14ac:dyDescent="0.25">
      <c r="A15" s="11" t="s">
        <v>298</v>
      </c>
      <c r="B15" s="1" t="s">
        <v>49</v>
      </c>
      <c r="C15" s="13" t="s">
        <v>13</v>
      </c>
      <c r="D15" s="13" t="s">
        <v>990</v>
      </c>
      <c r="E15" s="1" t="s">
        <v>987</v>
      </c>
      <c r="F15" s="12">
        <v>1</v>
      </c>
      <c r="G15" s="13">
        <v>1</v>
      </c>
      <c r="H15" s="13">
        <v>4</v>
      </c>
      <c r="I15" s="1" t="s">
        <v>714</v>
      </c>
      <c r="J15" s="1" t="s">
        <v>549</v>
      </c>
      <c r="K15" s="1" t="s">
        <v>940</v>
      </c>
    </row>
    <row r="16" spans="1:11" x14ac:dyDescent="0.25">
      <c r="A16" s="11" t="s">
        <v>299</v>
      </c>
      <c r="B16" s="1" t="s">
        <v>50</v>
      </c>
      <c r="C16" s="13" t="s">
        <v>822</v>
      </c>
      <c r="D16" s="13" t="s">
        <v>996</v>
      </c>
      <c r="E16" s="1" t="s">
        <v>986</v>
      </c>
      <c r="F16" s="12">
        <v>2</v>
      </c>
      <c r="G16" s="13">
        <v>2</v>
      </c>
      <c r="H16" s="13">
        <v>7</v>
      </c>
      <c r="I16" s="1" t="s">
        <v>688</v>
      </c>
      <c r="J16" s="1" t="s">
        <v>719</v>
      </c>
      <c r="K16" s="1" t="s">
        <v>900</v>
      </c>
    </row>
    <row r="17" spans="1:11" x14ac:dyDescent="0.25">
      <c r="A17" s="11" t="s">
        <v>300</v>
      </c>
      <c r="B17" s="1" t="s">
        <v>56</v>
      </c>
      <c r="D17" s="13" t="s">
        <v>1000</v>
      </c>
      <c r="E17" s="1" t="s">
        <v>12</v>
      </c>
      <c r="F17" s="12">
        <v>1</v>
      </c>
      <c r="G17" s="13">
        <v>1</v>
      </c>
      <c r="H17" s="13">
        <v>4</v>
      </c>
      <c r="I17" s="1" t="s">
        <v>720</v>
      </c>
      <c r="J17" s="1" t="s">
        <v>56</v>
      </c>
      <c r="K17" s="1" t="s">
        <v>930</v>
      </c>
    </row>
    <row r="18" spans="1:11" x14ac:dyDescent="0.25">
      <c r="A18" s="11" t="s">
        <v>301</v>
      </c>
      <c r="B18" s="1" t="s">
        <v>721</v>
      </c>
      <c r="D18" s="13" t="s">
        <v>1000</v>
      </c>
      <c r="E18" s="1" t="s">
        <v>987</v>
      </c>
      <c r="F18" s="12">
        <v>1</v>
      </c>
      <c r="G18" s="13">
        <v>2</v>
      </c>
      <c r="H18" s="13">
        <v>7</v>
      </c>
      <c r="I18" s="1" t="s">
        <v>689</v>
      </c>
      <c r="J18" s="1" t="s">
        <v>721</v>
      </c>
      <c r="K18" s="1" t="s">
        <v>984</v>
      </c>
    </row>
    <row r="19" spans="1:11" x14ac:dyDescent="0.25">
      <c r="A19" s="11" t="s">
        <v>302</v>
      </c>
      <c r="B19" s="1" t="s">
        <v>45</v>
      </c>
      <c r="C19" s="13" t="s">
        <v>823</v>
      </c>
      <c r="D19" s="13" t="s">
        <v>996</v>
      </c>
      <c r="E19" s="1" t="s">
        <v>986</v>
      </c>
      <c r="F19" s="12">
        <v>3</v>
      </c>
      <c r="G19" s="13">
        <v>3</v>
      </c>
      <c r="H19" s="13">
        <v>10</v>
      </c>
      <c r="I19" s="1" t="s">
        <v>688</v>
      </c>
      <c r="J19" s="1" t="s">
        <v>722</v>
      </c>
      <c r="K19" s="1" t="s">
        <v>908</v>
      </c>
    </row>
    <row r="20" spans="1:11" x14ac:dyDescent="0.25">
      <c r="A20" s="11" t="s">
        <v>303</v>
      </c>
      <c r="B20" s="1" t="s">
        <v>46</v>
      </c>
      <c r="C20" s="13" t="s">
        <v>14</v>
      </c>
      <c r="D20" s="13" t="s">
        <v>996</v>
      </c>
      <c r="E20" s="1" t="s">
        <v>895</v>
      </c>
      <c r="F20" s="12">
        <v>1</v>
      </c>
      <c r="G20" s="13">
        <v>2</v>
      </c>
      <c r="H20" s="13">
        <v>7</v>
      </c>
      <c r="I20" s="1" t="s">
        <v>688</v>
      </c>
      <c r="J20" s="1" t="s">
        <v>550</v>
      </c>
      <c r="K20" s="1" t="s">
        <v>57</v>
      </c>
    </row>
    <row r="21" spans="1:11" x14ac:dyDescent="0.25">
      <c r="A21" s="11" t="s">
        <v>304</v>
      </c>
      <c r="B21" s="1" t="s">
        <v>6</v>
      </c>
      <c r="C21" s="13" t="s">
        <v>14</v>
      </c>
      <c r="D21" s="13" t="s">
        <v>990</v>
      </c>
      <c r="E21" s="1" t="s">
        <v>987</v>
      </c>
      <c r="F21" s="12">
        <v>1</v>
      </c>
      <c r="G21" s="13">
        <v>1</v>
      </c>
      <c r="H21" s="13">
        <v>6</v>
      </c>
      <c r="I21" s="1" t="s">
        <v>712</v>
      </c>
      <c r="J21" s="1" t="s">
        <v>551</v>
      </c>
      <c r="K21" s="1" t="s">
        <v>58</v>
      </c>
    </row>
    <row r="22" spans="1:11" x14ac:dyDescent="0.25">
      <c r="A22" s="11" t="s">
        <v>305</v>
      </c>
      <c r="B22" s="1" t="s">
        <v>48</v>
      </c>
      <c r="C22" s="13" t="s">
        <v>14</v>
      </c>
      <c r="D22" s="13" t="s">
        <v>990</v>
      </c>
      <c r="E22" s="1" t="s">
        <v>987</v>
      </c>
      <c r="F22" s="12">
        <v>1</v>
      </c>
      <c r="G22" s="13">
        <v>1</v>
      </c>
      <c r="H22" s="13">
        <v>4</v>
      </c>
      <c r="I22" s="1" t="s">
        <v>713</v>
      </c>
      <c r="J22" s="1" t="s">
        <v>552</v>
      </c>
      <c r="K22" s="1" t="s">
        <v>915</v>
      </c>
    </row>
    <row r="23" spans="1:11" x14ac:dyDescent="0.25">
      <c r="A23" s="11" t="s">
        <v>306</v>
      </c>
      <c r="B23" s="1" t="s">
        <v>49</v>
      </c>
      <c r="C23" s="13" t="s">
        <v>14</v>
      </c>
      <c r="D23" s="13" t="s">
        <v>990</v>
      </c>
      <c r="E23" s="1" t="s">
        <v>987</v>
      </c>
      <c r="F23" s="12">
        <v>1</v>
      </c>
      <c r="G23" s="13">
        <v>1</v>
      </c>
      <c r="H23" s="13">
        <v>4</v>
      </c>
      <c r="I23" s="1" t="s">
        <v>714</v>
      </c>
      <c r="J23" s="1" t="s">
        <v>553</v>
      </c>
      <c r="K23" s="1" t="s">
        <v>921</v>
      </c>
    </row>
    <row r="24" spans="1:11" x14ac:dyDescent="0.25">
      <c r="A24" s="11" t="s">
        <v>307</v>
      </c>
      <c r="B24" s="1" t="s">
        <v>50</v>
      </c>
      <c r="C24" s="13" t="s">
        <v>824</v>
      </c>
      <c r="D24" s="13" t="s">
        <v>996</v>
      </c>
      <c r="E24" s="1" t="s">
        <v>986</v>
      </c>
      <c r="F24" s="12">
        <v>2</v>
      </c>
      <c r="G24" s="13">
        <v>2</v>
      </c>
      <c r="H24" s="13">
        <v>7</v>
      </c>
      <c r="I24" s="1" t="s">
        <v>688</v>
      </c>
      <c r="J24" s="1" t="s">
        <v>723</v>
      </c>
      <c r="K24" s="1" t="s">
        <v>901</v>
      </c>
    </row>
    <row r="25" spans="1:11" x14ac:dyDescent="0.25">
      <c r="A25" s="11" t="s">
        <v>308</v>
      </c>
      <c r="B25" s="1" t="s">
        <v>59</v>
      </c>
      <c r="D25" s="13" t="s">
        <v>1000</v>
      </c>
      <c r="E25" s="1" t="s">
        <v>12</v>
      </c>
      <c r="F25" s="12">
        <v>1</v>
      </c>
      <c r="G25" s="13">
        <v>1</v>
      </c>
      <c r="H25" s="13">
        <v>4</v>
      </c>
      <c r="I25" s="1" t="s">
        <v>716</v>
      </c>
      <c r="J25" s="1" t="s">
        <v>59</v>
      </c>
      <c r="K25" s="1" t="s">
        <v>931</v>
      </c>
    </row>
    <row r="26" spans="1:11" x14ac:dyDescent="0.25">
      <c r="A26" s="11" t="s">
        <v>309</v>
      </c>
      <c r="B26" s="1" t="s">
        <v>724</v>
      </c>
      <c r="D26" s="13" t="s">
        <v>1000</v>
      </c>
      <c r="E26" s="1" t="s">
        <v>987</v>
      </c>
      <c r="F26" s="12">
        <v>1</v>
      </c>
      <c r="G26" s="13">
        <v>3</v>
      </c>
      <c r="H26" s="13">
        <v>10</v>
      </c>
      <c r="I26" s="1" t="s">
        <v>716</v>
      </c>
      <c r="J26" s="1" t="s">
        <v>724</v>
      </c>
      <c r="K26" s="1" t="s">
        <v>983</v>
      </c>
    </row>
    <row r="27" spans="1:11" x14ac:dyDescent="0.25">
      <c r="A27" s="11" t="s">
        <v>310</v>
      </c>
      <c r="B27" s="1" t="s">
        <v>52</v>
      </c>
      <c r="C27" s="13" t="s">
        <v>14</v>
      </c>
      <c r="D27" s="13" t="s">
        <v>990</v>
      </c>
      <c r="E27" s="1" t="s">
        <v>987</v>
      </c>
      <c r="F27" s="12">
        <v>1</v>
      </c>
      <c r="G27" s="13">
        <v>3</v>
      </c>
      <c r="H27" s="13">
        <v>10</v>
      </c>
      <c r="I27" s="1" t="s">
        <v>716</v>
      </c>
      <c r="J27" s="1" t="s">
        <v>554</v>
      </c>
      <c r="K27" s="1" t="s">
        <v>932</v>
      </c>
    </row>
    <row r="28" spans="1:11" x14ac:dyDescent="0.25">
      <c r="A28" s="11" t="s">
        <v>311</v>
      </c>
      <c r="B28" s="1" t="s">
        <v>53</v>
      </c>
      <c r="C28" s="13" t="s">
        <v>14</v>
      </c>
      <c r="D28" s="13" t="s">
        <v>996</v>
      </c>
      <c r="E28" s="1" t="s">
        <v>895</v>
      </c>
      <c r="F28" s="12">
        <v>1</v>
      </c>
      <c r="G28" s="13">
        <v>2</v>
      </c>
      <c r="H28" s="13">
        <v>7</v>
      </c>
      <c r="I28" s="1" t="s">
        <v>688</v>
      </c>
      <c r="J28" s="1" t="s">
        <v>555</v>
      </c>
      <c r="K28" s="1" t="s">
        <v>60</v>
      </c>
    </row>
    <row r="29" spans="1:11" x14ac:dyDescent="0.25">
      <c r="A29" s="11" t="s">
        <v>312</v>
      </c>
      <c r="B29" s="1" t="s">
        <v>55</v>
      </c>
      <c r="C29" s="13" t="s">
        <v>14</v>
      </c>
      <c r="D29" s="13" t="s">
        <v>990</v>
      </c>
      <c r="E29" s="1" t="s">
        <v>987</v>
      </c>
      <c r="F29" s="12">
        <v>1</v>
      </c>
      <c r="G29" s="13">
        <v>1</v>
      </c>
      <c r="H29" s="13">
        <v>6</v>
      </c>
      <c r="I29" s="1" t="s">
        <v>712</v>
      </c>
      <c r="J29" s="1" t="s">
        <v>556</v>
      </c>
      <c r="K29" s="1" t="s">
        <v>933</v>
      </c>
    </row>
    <row r="30" spans="1:11" x14ac:dyDescent="0.25">
      <c r="A30" s="11" t="s">
        <v>313</v>
      </c>
      <c r="B30" s="1" t="s">
        <v>48</v>
      </c>
      <c r="C30" s="13" t="s">
        <v>15</v>
      </c>
      <c r="D30" s="13" t="s">
        <v>990</v>
      </c>
      <c r="E30" s="1" t="s">
        <v>987</v>
      </c>
      <c r="F30" s="12">
        <v>1</v>
      </c>
      <c r="G30" s="13">
        <v>1</v>
      </c>
      <c r="H30" s="13">
        <v>4</v>
      </c>
      <c r="I30" s="1" t="s">
        <v>713</v>
      </c>
      <c r="J30" s="1" t="s">
        <v>557</v>
      </c>
      <c r="K30" s="1" t="s">
        <v>941</v>
      </c>
    </row>
    <row r="31" spans="1:11" x14ac:dyDescent="0.25">
      <c r="A31" s="11" t="s">
        <v>314</v>
      </c>
      <c r="B31" s="1" t="s">
        <v>49</v>
      </c>
      <c r="C31" s="13" t="s">
        <v>15</v>
      </c>
      <c r="D31" s="13" t="s">
        <v>990</v>
      </c>
      <c r="E31" s="1" t="s">
        <v>987</v>
      </c>
      <c r="F31" s="12">
        <v>1</v>
      </c>
      <c r="G31" s="13">
        <v>1</v>
      </c>
      <c r="H31" s="13">
        <v>4</v>
      </c>
      <c r="I31" s="1" t="s">
        <v>714</v>
      </c>
      <c r="J31" s="1" t="s">
        <v>558</v>
      </c>
      <c r="K31" s="1" t="s">
        <v>922</v>
      </c>
    </row>
    <row r="32" spans="1:11" x14ac:dyDescent="0.25">
      <c r="A32" s="11" t="s">
        <v>315</v>
      </c>
      <c r="B32" s="1" t="s">
        <v>50</v>
      </c>
      <c r="C32" s="13" t="s">
        <v>825</v>
      </c>
      <c r="D32" s="13" t="s">
        <v>996</v>
      </c>
      <c r="E32" s="1" t="s">
        <v>986</v>
      </c>
      <c r="F32" s="12">
        <v>2</v>
      </c>
      <c r="G32" s="13">
        <v>2</v>
      </c>
      <c r="H32" s="13">
        <v>7</v>
      </c>
      <c r="I32" s="1" t="s">
        <v>688</v>
      </c>
      <c r="J32" s="1" t="s">
        <v>725</v>
      </c>
      <c r="K32" s="1" t="s">
        <v>902</v>
      </c>
    </row>
    <row r="33" spans="1:11" x14ac:dyDescent="0.25">
      <c r="A33" s="11" t="s">
        <v>316</v>
      </c>
      <c r="B33" s="1" t="s">
        <v>61</v>
      </c>
      <c r="D33" s="13" t="s">
        <v>1000</v>
      </c>
      <c r="E33" s="1" t="s">
        <v>12</v>
      </c>
      <c r="F33" s="12">
        <v>1</v>
      </c>
      <c r="G33" s="13">
        <v>1</v>
      </c>
      <c r="H33" s="13">
        <v>4</v>
      </c>
      <c r="I33" s="1" t="s">
        <v>720</v>
      </c>
      <c r="J33" s="1" t="s">
        <v>61</v>
      </c>
      <c r="K33" s="1" t="s">
        <v>934</v>
      </c>
    </row>
    <row r="34" spans="1:11" x14ac:dyDescent="0.25">
      <c r="A34" s="11" t="s">
        <v>317</v>
      </c>
      <c r="B34" s="1" t="s">
        <v>726</v>
      </c>
      <c r="D34" s="13" t="s">
        <v>994</v>
      </c>
      <c r="E34" s="1" t="s">
        <v>12</v>
      </c>
      <c r="F34" s="12">
        <v>1</v>
      </c>
      <c r="G34" s="13">
        <v>3</v>
      </c>
      <c r="H34" s="13">
        <v>10</v>
      </c>
      <c r="I34" s="1" t="s">
        <v>688</v>
      </c>
      <c r="J34" s="1" t="s">
        <v>726</v>
      </c>
      <c r="K34" s="1" t="s">
        <v>727</v>
      </c>
    </row>
    <row r="35" spans="1:11" x14ac:dyDescent="0.25">
      <c r="A35" s="11" t="s">
        <v>318</v>
      </c>
      <c r="B35" s="1" t="s">
        <v>45</v>
      </c>
      <c r="C35" s="13" t="s">
        <v>826</v>
      </c>
      <c r="D35" s="13" t="s">
        <v>996</v>
      </c>
      <c r="E35" s="1" t="s">
        <v>986</v>
      </c>
      <c r="F35" s="12">
        <v>3</v>
      </c>
      <c r="G35" s="13">
        <v>3</v>
      </c>
      <c r="H35" s="13">
        <v>10</v>
      </c>
      <c r="I35" s="1" t="s">
        <v>688</v>
      </c>
      <c r="J35" s="1" t="s">
        <v>728</v>
      </c>
      <c r="K35" s="1" t="s">
        <v>909</v>
      </c>
    </row>
    <row r="36" spans="1:11" x14ac:dyDescent="0.25">
      <c r="A36" s="11" t="s">
        <v>319</v>
      </c>
      <c r="B36" s="1" t="s">
        <v>62</v>
      </c>
      <c r="C36" s="13" t="s">
        <v>63</v>
      </c>
      <c r="D36" s="13" t="s">
        <v>996</v>
      </c>
      <c r="E36" s="1" t="s">
        <v>896</v>
      </c>
      <c r="F36" s="12">
        <v>3</v>
      </c>
      <c r="G36" s="13">
        <v>5</v>
      </c>
      <c r="H36" s="13">
        <v>16</v>
      </c>
      <c r="I36" s="1" t="s">
        <v>688</v>
      </c>
      <c r="J36" s="1" t="s">
        <v>559</v>
      </c>
      <c r="K36" s="1" t="s">
        <v>942</v>
      </c>
    </row>
    <row r="37" spans="1:11" x14ac:dyDescent="0.25">
      <c r="A37" s="11" t="s">
        <v>320</v>
      </c>
      <c r="B37" s="1" t="s">
        <v>6</v>
      </c>
      <c r="C37" s="13" t="s">
        <v>64</v>
      </c>
      <c r="D37" s="13" t="s">
        <v>990</v>
      </c>
      <c r="E37" s="1" t="s">
        <v>987</v>
      </c>
      <c r="F37" s="12">
        <v>1</v>
      </c>
      <c r="G37" s="13">
        <v>1</v>
      </c>
      <c r="H37" s="13">
        <v>6</v>
      </c>
      <c r="I37" s="1" t="s">
        <v>712</v>
      </c>
      <c r="J37" s="1" t="s">
        <v>560</v>
      </c>
      <c r="K37" s="1" t="s">
        <v>65</v>
      </c>
    </row>
    <row r="38" spans="1:11" x14ac:dyDescent="0.25">
      <c r="A38" s="11" t="s">
        <v>321</v>
      </c>
      <c r="B38" s="1" t="s">
        <v>48</v>
      </c>
      <c r="C38" s="13" t="s">
        <v>64</v>
      </c>
      <c r="D38" s="13" t="s">
        <v>990</v>
      </c>
      <c r="E38" s="1" t="s">
        <v>987</v>
      </c>
      <c r="F38" s="12">
        <v>1</v>
      </c>
      <c r="G38" s="13">
        <v>1</v>
      </c>
      <c r="H38" s="13">
        <v>4</v>
      </c>
      <c r="I38" s="1" t="s">
        <v>713</v>
      </c>
      <c r="J38" s="1" t="s">
        <v>561</v>
      </c>
      <c r="K38" s="1" t="s">
        <v>916</v>
      </c>
    </row>
    <row r="39" spans="1:11" x14ac:dyDescent="0.25">
      <c r="A39" s="11" t="s">
        <v>322</v>
      </c>
      <c r="B39" s="1" t="s">
        <v>49</v>
      </c>
      <c r="C39" s="13" t="s">
        <v>64</v>
      </c>
      <c r="D39" s="13" t="s">
        <v>990</v>
      </c>
      <c r="E39" s="1" t="s">
        <v>987</v>
      </c>
      <c r="F39" s="12">
        <v>1</v>
      </c>
      <c r="G39" s="13">
        <v>1</v>
      </c>
      <c r="H39" s="13">
        <v>4</v>
      </c>
      <c r="I39" s="1" t="s">
        <v>714</v>
      </c>
      <c r="J39" s="1" t="s">
        <v>562</v>
      </c>
      <c r="K39" s="1" t="s">
        <v>923</v>
      </c>
    </row>
    <row r="40" spans="1:11" x14ac:dyDescent="0.25">
      <c r="A40" s="11" t="s">
        <v>323</v>
      </c>
      <c r="B40" s="1" t="s">
        <v>50</v>
      </c>
      <c r="C40" s="13" t="s">
        <v>827</v>
      </c>
      <c r="D40" s="13" t="s">
        <v>996</v>
      </c>
      <c r="E40" s="1" t="s">
        <v>986</v>
      </c>
      <c r="F40" s="12">
        <v>2</v>
      </c>
      <c r="G40" s="13">
        <v>2</v>
      </c>
      <c r="H40" s="13">
        <v>7</v>
      </c>
      <c r="I40" s="1" t="s">
        <v>688</v>
      </c>
      <c r="J40" s="1" t="s">
        <v>729</v>
      </c>
      <c r="K40" s="1" t="s">
        <v>903</v>
      </c>
    </row>
    <row r="41" spans="1:11" x14ac:dyDescent="0.25">
      <c r="A41" s="11" t="s">
        <v>324</v>
      </c>
      <c r="B41" s="1" t="s">
        <v>66</v>
      </c>
      <c r="D41" s="13" t="s">
        <v>1000</v>
      </c>
      <c r="E41" s="1" t="s">
        <v>12</v>
      </c>
      <c r="F41" s="12">
        <v>1</v>
      </c>
      <c r="G41" s="13">
        <v>1</v>
      </c>
      <c r="H41" s="13">
        <v>4</v>
      </c>
      <c r="I41" s="1" t="s">
        <v>718</v>
      </c>
      <c r="J41" s="1" t="s">
        <v>66</v>
      </c>
      <c r="K41" s="1" t="s">
        <v>975</v>
      </c>
    </row>
    <row r="42" spans="1:11" x14ac:dyDescent="0.25">
      <c r="A42" s="11" t="s">
        <v>325</v>
      </c>
      <c r="B42" s="1" t="s">
        <v>730</v>
      </c>
      <c r="C42" s="13" t="s">
        <v>218</v>
      </c>
      <c r="D42" s="13" t="s">
        <v>996</v>
      </c>
      <c r="E42" s="1" t="s">
        <v>986</v>
      </c>
      <c r="F42" s="12">
        <v>2</v>
      </c>
      <c r="G42" s="13">
        <v>3</v>
      </c>
      <c r="H42" s="13">
        <v>10</v>
      </c>
      <c r="I42" s="1" t="s">
        <v>688</v>
      </c>
      <c r="J42" s="1" t="s">
        <v>731</v>
      </c>
      <c r="K42" s="1" t="s">
        <v>979</v>
      </c>
    </row>
    <row r="43" spans="1:11" x14ac:dyDescent="0.25">
      <c r="A43" s="11" t="s">
        <v>326</v>
      </c>
      <c r="B43" s="1" t="s">
        <v>52</v>
      </c>
      <c r="C43" s="13" t="s">
        <v>64</v>
      </c>
      <c r="D43" s="13" t="s">
        <v>990</v>
      </c>
      <c r="E43" s="1" t="s">
        <v>987</v>
      </c>
      <c r="F43" s="12">
        <v>1</v>
      </c>
      <c r="G43" s="13">
        <v>3</v>
      </c>
      <c r="H43" s="13">
        <v>10</v>
      </c>
      <c r="I43" s="1" t="s">
        <v>716</v>
      </c>
      <c r="J43" s="1" t="s">
        <v>563</v>
      </c>
      <c r="K43" s="1" t="s">
        <v>946</v>
      </c>
    </row>
    <row r="44" spans="1:11" x14ac:dyDescent="0.25">
      <c r="A44" s="11" t="s">
        <v>327</v>
      </c>
      <c r="B44" s="1" t="s">
        <v>67</v>
      </c>
      <c r="C44" s="13" t="s">
        <v>63</v>
      </c>
      <c r="D44" s="13" t="s">
        <v>996</v>
      </c>
      <c r="E44" s="1" t="s">
        <v>896</v>
      </c>
      <c r="F44" s="12">
        <v>3</v>
      </c>
      <c r="G44" s="13">
        <v>5</v>
      </c>
      <c r="H44" s="13">
        <v>16</v>
      </c>
      <c r="I44" s="1" t="s">
        <v>688</v>
      </c>
      <c r="J44" s="1" t="s">
        <v>564</v>
      </c>
      <c r="K44" s="1" t="s">
        <v>945</v>
      </c>
    </row>
    <row r="45" spans="1:11" x14ac:dyDescent="0.25">
      <c r="A45" s="11" t="s">
        <v>328</v>
      </c>
      <c r="B45" s="1" t="s">
        <v>55</v>
      </c>
      <c r="C45" s="13" t="s">
        <v>64</v>
      </c>
      <c r="D45" s="13" t="s">
        <v>990</v>
      </c>
      <c r="E45" s="1" t="s">
        <v>987</v>
      </c>
      <c r="F45" s="12">
        <v>1</v>
      </c>
      <c r="G45" s="13">
        <v>1</v>
      </c>
      <c r="H45" s="13">
        <v>6</v>
      </c>
      <c r="I45" s="1" t="s">
        <v>712</v>
      </c>
      <c r="J45" s="1" t="s">
        <v>565</v>
      </c>
      <c r="K45" s="1" t="s">
        <v>935</v>
      </c>
    </row>
    <row r="46" spans="1:11" x14ac:dyDescent="0.25">
      <c r="A46" s="11" t="s">
        <v>329</v>
      </c>
      <c r="B46" s="1" t="s">
        <v>48</v>
      </c>
      <c r="C46" s="13" t="s">
        <v>68</v>
      </c>
      <c r="D46" s="13" t="s">
        <v>990</v>
      </c>
      <c r="E46" s="1" t="s">
        <v>987</v>
      </c>
      <c r="F46" s="12">
        <v>1</v>
      </c>
      <c r="G46" s="13">
        <v>1</v>
      </c>
      <c r="H46" s="13">
        <v>4</v>
      </c>
      <c r="I46" s="1" t="s">
        <v>713</v>
      </c>
      <c r="J46" s="1" t="s">
        <v>566</v>
      </c>
      <c r="K46" s="1" t="s">
        <v>917</v>
      </c>
    </row>
    <row r="47" spans="1:11" x14ac:dyDescent="0.25">
      <c r="A47" s="11" t="s">
        <v>330</v>
      </c>
      <c r="B47" s="1" t="s">
        <v>49</v>
      </c>
      <c r="C47" s="13" t="s">
        <v>68</v>
      </c>
      <c r="D47" s="13" t="s">
        <v>990</v>
      </c>
      <c r="E47" s="1" t="s">
        <v>987</v>
      </c>
      <c r="F47" s="12">
        <v>1</v>
      </c>
      <c r="G47" s="13">
        <v>1</v>
      </c>
      <c r="H47" s="13">
        <v>4</v>
      </c>
      <c r="I47" s="1" t="s">
        <v>714</v>
      </c>
      <c r="J47" s="1" t="s">
        <v>567</v>
      </c>
      <c r="K47" s="1" t="s">
        <v>924</v>
      </c>
    </row>
    <row r="48" spans="1:11" x14ac:dyDescent="0.25">
      <c r="A48" s="11" t="s">
        <v>331</v>
      </c>
      <c r="B48" s="1" t="s">
        <v>50</v>
      </c>
      <c r="C48" s="13" t="s">
        <v>828</v>
      </c>
      <c r="D48" s="13" t="s">
        <v>996</v>
      </c>
      <c r="E48" s="1" t="s">
        <v>986</v>
      </c>
      <c r="F48" s="12">
        <v>2</v>
      </c>
      <c r="G48" s="13">
        <v>2</v>
      </c>
      <c r="H48" s="13">
        <v>7</v>
      </c>
      <c r="I48" s="1" t="s">
        <v>688</v>
      </c>
      <c r="J48" s="1" t="s">
        <v>732</v>
      </c>
      <c r="K48" s="1" t="s">
        <v>904</v>
      </c>
    </row>
    <row r="49" spans="1:11" x14ac:dyDescent="0.25">
      <c r="A49" s="11" t="s">
        <v>332</v>
      </c>
      <c r="B49" s="1" t="s">
        <v>69</v>
      </c>
      <c r="D49" s="13" t="s">
        <v>1000</v>
      </c>
      <c r="E49" s="1" t="s">
        <v>12</v>
      </c>
      <c r="F49" s="12">
        <v>1</v>
      </c>
      <c r="G49" s="13">
        <v>1</v>
      </c>
      <c r="H49" s="13">
        <v>4</v>
      </c>
      <c r="I49" s="1" t="s">
        <v>988</v>
      </c>
      <c r="J49" s="1" t="s">
        <v>69</v>
      </c>
      <c r="K49" s="1" t="s">
        <v>70</v>
      </c>
    </row>
    <row r="50" spans="1:11" x14ac:dyDescent="0.25">
      <c r="A50" s="11" t="s">
        <v>333</v>
      </c>
      <c r="B50" s="1" t="s">
        <v>733</v>
      </c>
      <c r="D50" s="13" t="s">
        <v>994</v>
      </c>
      <c r="E50" s="1" t="s">
        <v>12</v>
      </c>
      <c r="F50" s="12">
        <v>1</v>
      </c>
      <c r="G50" s="13">
        <v>1</v>
      </c>
      <c r="H50" s="13">
        <v>4</v>
      </c>
      <c r="I50" s="1" t="s">
        <v>688</v>
      </c>
      <c r="J50" s="1" t="s">
        <v>733</v>
      </c>
      <c r="K50" s="1" t="s">
        <v>734</v>
      </c>
    </row>
    <row r="51" spans="1:11" x14ac:dyDescent="0.25">
      <c r="A51" s="11" t="s">
        <v>334</v>
      </c>
      <c r="B51" s="1" t="s">
        <v>45</v>
      </c>
      <c r="C51" s="13" t="s">
        <v>829</v>
      </c>
      <c r="D51" s="13" t="s">
        <v>996</v>
      </c>
      <c r="E51" s="1" t="s">
        <v>986</v>
      </c>
      <c r="F51" s="12">
        <v>3</v>
      </c>
      <c r="G51" s="13">
        <v>3</v>
      </c>
      <c r="H51" s="13">
        <v>10</v>
      </c>
      <c r="I51" s="1" t="s">
        <v>688</v>
      </c>
      <c r="J51" s="1" t="s">
        <v>735</v>
      </c>
      <c r="K51" s="1" t="s">
        <v>910</v>
      </c>
    </row>
    <row r="52" spans="1:11" x14ac:dyDescent="0.25">
      <c r="A52" s="11" t="s">
        <v>335</v>
      </c>
      <c r="B52" s="1" t="s">
        <v>3</v>
      </c>
      <c r="C52" s="13" t="s">
        <v>63</v>
      </c>
      <c r="D52" s="13" t="s">
        <v>996</v>
      </c>
      <c r="E52" s="1" t="s">
        <v>896</v>
      </c>
      <c r="F52" s="12">
        <v>3</v>
      </c>
      <c r="G52" s="13">
        <v>4</v>
      </c>
      <c r="H52" s="13">
        <v>13</v>
      </c>
      <c r="I52" s="1" t="s">
        <v>688</v>
      </c>
      <c r="J52" s="1" t="s">
        <v>568</v>
      </c>
      <c r="K52" s="1" t="s">
        <v>71</v>
      </c>
    </row>
    <row r="53" spans="1:11" x14ac:dyDescent="0.25">
      <c r="A53" s="11" t="s">
        <v>336</v>
      </c>
      <c r="B53" s="1" t="s">
        <v>6</v>
      </c>
      <c r="C53" s="13" t="s">
        <v>72</v>
      </c>
      <c r="D53" s="13" t="s">
        <v>990</v>
      </c>
      <c r="E53" s="1" t="s">
        <v>987</v>
      </c>
      <c r="F53" s="12">
        <v>1</v>
      </c>
      <c r="G53" s="13">
        <v>1</v>
      </c>
      <c r="H53" s="13">
        <v>6</v>
      </c>
      <c r="I53" s="1" t="s">
        <v>712</v>
      </c>
      <c r="J53" s="1" t="s">
        <v>569</v>
      </c>
      <c r="K53" s="1" t="s">
        <v>936</v>
      </c>
    </row>
    <row r="54" spans="1:11" x14ac:dyDescent="0.25">
      <c r="A54" s="11" t="s">
        <v>337</v>
      </c>
      <c r="B54" s="1" t="s">
        <v>48</v>
      </c>
      <c r="C54" s="13" t="s">
        <v>73</v>
      </c>
      <c r="D54" s="13" t="s">
        <v>990</v>
      </c>
      <c r="E54" s="1" t="s">
        <v>895</v>
      </c>
      <c r="F54" s="12">
        <v>1</v>
      </c>
      <c r="G54" s="13">
        <v>3</v>
      </c>
      <c r="H54" s="13">
        <v>10</v>
      </c>
      <c r="I54" s="1" t="s">
        <v>713</v>
      </c>
      <c r="J54" s="1" t="s">
        <v>570</v>
      </c>
      <c r="K54" s="1" t="s">
        <v>918</v>
      </c>
    </row>
    <row r="55" spans="1:11" x14ac:dyDescent="0.25">
      <c r="A55" s="11" t="s">
        <v>338</v>
      </c>
      <c r="B55" s="1" t="s">
        <v>49</v>
      </c>
      <c r="C55" s="13" t="s">
        <v>73</v>
      </c>
      <c r="D55" s="13" t="s">
        <v>990</v>
      </c>
      <c r="E55" s="1" t="s">
        <v>895</v>
      </c>
      <c r="F55" s="12">
        <v>1</v>
      </c>
      <c r="G55" s="13">
        <v>3</v>
      </c>
      <c r="H55" s="13">
        <v>10</v>
      </c>
      <c r="I55" s="1" t="s">
        <v>714</v>
      </c>
      <c r="J55" s="1" t="s">
        <v>571</v>
      </c>
      <c r="K55" s="1" t="s">
        <v>925</v>
      </c>
    </row>
    <row r="56" spans="1:11" x14ac:dyDescent="0.25">
      <c r="A56" s="11" t="s">
        <v>339</v>
      </c>
      <c r="B56" s="1" t="s">
        <v>50</v>
      </c>
      <c r="C56" s="13" t="s">
        <v>830</v>
      </c>
      <c r="D56" s="13" t="s">
        <v>996</v>
      </c>
      <c r="E56" s="1" t="s">
        <v>895</v>
      </c>
      <c r="F56" s="12">
        <v>2</v>
      </c>
      <c r="G56" s="13">
        <v>3</v>
      </c>
      <c r="H56" s="13">
        <v>10</v>
      </c>
      <c r="I56" s="1" t="s">
        <v>688</v>
      </c>
      <c r="J56" s="1" t="s">
        <v>736</v>
      </c>
      <c r="K56" s="1" t="s">
        <v>905</v>
      </c>
    </row>
    <row r="57" spans="1:11" x14ac:dyDescent="0.25">
      <c r="A57" s="11" t="s">
        <v>340</v>
      </c>
      <c r="B57" s="1" t="s">
        <v>74</v>
      </c>
      <c r="D57" s="13" t="s">
        <v>1000</v>
      </c>
      <c r="E57" s="1" t="s">
        <v>12</v>
      </c>
      <c r="F57" s="12">
        <v>1</v>
      </c>
      <c r="G57" s="13">
        <v>1</v>
      </c>
      <c r="H57" s="13">
        <v>4</v>
      </c>
      <c r="I57" s="1" t="s">
        <v>690</v>
      </c>
      <c r="J57" s="1" t="s">
        <v>74</v>
      </c>
      <c r="K57" s="1" t="s">
        <v>937</v>
      </c>
    </row>
    <row r="58" spans="1:11" x14ac:dyDescent="0.25">
      <c r="A58" s="11" t="s">
        <v>341</v>
      </c>
      <c r="B58" s="1" t="s">
        <v>737</v>
      </c>
      <c r="C58" s="13" t="s">
        <v>218</v>
      </c>
      <c r="D58" s="13" t="s">
        <v>996</v>
      </c>
      <c r="E58" s="1" t="s">
        <v>986</v>
      </c>
      <c r="F58" s="12">
        <v>2</v>
      </c>
      <c r="G58" s="13">
        <v>3</v>
      </c>
      <c r="H58" s="13">
        <v>10</v>
      </c>
      <c r="I58" s="1" t="s">
        <v>688</v>
      </c>
      <c r="J58" s="1" t="s">
        <v>738</v>
      </c>
      <c r="K58" s="1" t="s">
        <v>980</v>
      </c>
    </row>
    <row r="59" spans="1:11" x14ac:dyDescent="0.25">
      <c r="A59" s="11" t="s">
        <v>342</v>
      </c>
      <c r="B59" s="1" t="s">
        <v>52</v>
      </c>
      <c r="C59" s="13" t="s">
        <v>72</v>
      </c>
      <c r="D59" s="13" t="s">
        <v>990</v>
      </c>
      <c r="E59" s="1" t="s">
        <v>987</v>
      </c>
      <c r="F59" s="12">
        <v>1</v>
      </c>
      <c r="G59" s="13">
        <v>3</v>
      </c>
      <c r="H59" s="13">
        <v>10</v>
      </c>
      <c r="I59" s="1" t="s">
        <v>716</v>
      </c>
      <c r="J59" s="1" t="s">
        <v>572</v>
      </c>
      <c r="K59" s="1" t="s">
        <v>938</v>
      </c>
    </row>
    <row r="60" spans="1:11" x14ac:dyDescent="0.25">
      <c r="A60" s="11" t="s">
        <v>343</v>
      </c>
      <c r="B60" s="1" t="s">
        <v>4</v>
      </c>
      <c r="C60" s="13" t="s">
        <v>63</v>
      </c>
      <c r="D60" s="13" t="s">
        <v>996</v>
      </c>
      <c r="E60" s="1" t="s">
        <v>896</v>
      </c>
      <c r="F60" s="12">
        <v>3</v>
      </c>
      <c r="G60" s="13">
        <v>4</v>
      </c>
      <c r="H60" s="13">
        <v>13</v>
      </c>
      <c r="I60" s="1" t="s">
        <v>688</v>
      </c>
      <c r="J60" s="1" t="s">
        <v>573</v>
      </c>
      <c r="K60" s="1" t="s">
        <v>75</v>
      </c>
    </row>
    <row r="61" spans="1:11" x14ac:dyDescent="0.25">
      <c r="A61" s="11" t="s">
        <v>344</v>
      </c>
      <c r="B61" s="1" t="s">
        <v>55</v>
      </c>
      <c r="C61" s="13" t="s">
        <v>72</v>
      </c>
      <c r="D61" s="13" t="s">
        <v>990</v>
      </c>
      <c r="E61" s="1" t="s">
        <v>987</v>
      </c>
      <c r="F61" s="12">
        <v>1</v>
      </c>
      <c r="G61" s="13">
        <v>1</v>
      </c>
      <c r="H61" s="13">
        <v>6</v>
      </c>
      <c r="I61" s="1" t="s">
        <v>712</v>
      </c>
      <c r="J61" s="1" t="s">
        <v>574</v>
      </c>
      <c r="K61" s="1" t="s">
        <v>939</v>
      </c>
    </row>
    <row r="62" spans="1:11" x14ac:dyDescent="0.25">
      <c r="A62" s="11" t="s">
        <v>345</v>
      </c>
      <c r="B62" s="1" t="s">
        <v>48</v>
      </c>
      <c r="C62" s="13" t="s">
        <v>10</v>
      </c>
      <c r="D62" s="13" t="s">
        <v>990</v>
      </c>
      <c r="E62" s="1" t="s">
        <v>987</v>
      </c>
      <c r="F62" s="12">
        <v>1</v>
      </c>
      <c r="G62" s="13">
        <v>1</v>
      </c>
      <c r="H62" s="13">
        <v>4</v>
      </c>
      <c r="I62" s="1" t="s">
        <v>713</v>
      </c>
      <c r="J62" s="1" t="s">
        <v>575</v>
      </c>
      <c r="K62" s="1" t="s">
        <v>919</v>
      </c>
    </row>
    <row r="63" spans="1:11" x14ac:dyDescent="0.25">
      <c r="A63" s="11" t="s">
        <v>346</v>
      </c>
      <c r="B63" s="1" t="s">
        <v>49</v>
      </c>
      <c r="C63" s="13" t="s">
        <v>10</v>
      </c>
      <c r="D63" s="13" t="s">
        <v>990</v>
      </c>
      <c r="E63" s="1" t="s">
        <v>987</v>
      </c>
      <c r="F63" s="12">
        <v>1</v>
      </c>
      <c r="G63" s="13">
        <v>1</v>
      </c>
      <c r="H63" s="13">
        <v>4</v>
      </c>
      <c r="I63" s="1" t="s">
        <v>714</v>
      </c>
      <c r="J63" s="1" t="s">
        <v>576</v>
      </c>
      <c r="K63" s="1" t="s">
        <v>926</v>
      </c>
    </row>
    <row r="64" spans="1:11" x14ac:dyDescent="0.25">
      <c r="A64" s="11" t="s">
        <v>347</v>
      </c>
      <c r="B64" s="1" t="s">
        <v>50</v>
      </c>
      <c r="C64" s="13" t="s">
        <v>831</v>
      </c>
      <c r="D64" s="13" t="s">
        <v>996</v>
      </c>
      <c r="E64" s="1" t="s">
        <v>986</v>
      </c>
      <c r="F64" s="12">
        <v>2</v>
      </c>
      <c r="G64" s="13">
        <v>2</v>
      </c>
      <c r="H64" s="13">
        <v>7</v>
      </c>
      <c r="I64" s="1" t="s">
        <v>688</v>
      </c>
      <c r="J64" s="1" t="s">
        <v>739</v>
      </c>
      <c r="K64" s="1" t="s">
        <v>906</v>
      </c>
    </row>
    <row r="65" spans="1:11" x14ac:dyDescent="0.25">
      <c r="A65" s="11" t="s">
        <v>348</v>
      </c>
      <c r="B65" s="1" t="s">
        <v>76</v>
      </c>
      <c r="D65" s="13" t="s">
        <v>1000</v>
      </c>
      <c r="E65" s="1" t="s">
        <v>12</v>
      </c>
      <c r="F65" s="12">
        <v>1</v>
      </c>
      <c r="G65" s="13">
        <v>1</v>
      </c>
      <c r="H65" s="13">
        <v>4</v>
      </c>
      <c r="I65" s="1" t="s">
        <v>689</v>
      </c>
      <c r="J65" s="1" t="s">
        <v>76</v>
      </c>
      <c r="K65" s="1" t="s">
        <v>947</v>
      </c>
    </row>
    <row r="66" spans="1:11" x14ac:dyDescent="0.25">
      <c r="A66" s="11" t="s">
        <v>349</v>
      </c>
      <c r="B66" s="1" t="s">
        <v>77</v>
      </c>
      <c r="C66" s="13" t="s">
        <v>832</v>
      </c>
      <c r="D66" s="13" t="s">
        <v>996</v>
      </c>
      <c r="E66" s="1" t="s">
        <v>987</v>
      </c>
      <c r="F66" s="12">
        <v>1</v>
      </c>
      <c r="G66" s="13">
        <v>1</v>
      </c>
      <c r="H66" s="13">
        <v>4</v>
      </c>
      <c r="I66" s="1" t="s">
        <v>688</v>
      </c>
      <c r="J66" s="1" t="s">
        <v>740</v>
      </c>
      <c r="K66" s="1" t="s">
        <v>78</v>
      </c>
    </row>
    <row r="67" spans="1:11" x14ac:dyDescent="0.25">
      <c r="A67" s="11" t="s">
        <v>350</v>
      </c>
      <c r="B67" s="1" t="s">
        <v>77</v>
      </c>
      <c r="C67" s="13" t="s">
        <v>833</v>
      </c>
      <c r="D67" s="13" t="s">
        <v>996</v>
      </c>
      <c r="E67" s="1" t="s">
        <v>987</v>
      </c>
      <c r="F67" s="12">
        <v>1</v>
      </c>
      <c r="G67" s="13">
        <v>1</v>
      </c>
      <c r="H67" s="13">
        <v>4</v>
      </c>
      <c r="I67" s="1" t="s">
        <v>688</v>
      </c>
      <c r="J67" s="1" t="s">
        <v>741</v>
      </c>
      <c r="K67" s="1" t="s">
        <v>79</v>
      </c>
    </row>
    <row r="68" spans="1:11" x14ac:dyDescent="0.25">
      <c r="A68" s="11" t="s">
        <v>351</v>
      </c>
      <c r="B68" s="1" t="s">
        <v>77</v>
      </c>
      <c r="C68" s="13" t="s">
        <v>834</v>
      </c>
      <c r="D68" s="13" t="s">
        <v>996</v>
      </c>
      <c r="E68" s="1" t="s">
        <v>987</v>
      </c>
      <c r="F68" s="12">
        <v>1</v>
      </c>
      <c r="G68" s="13">
        <v>1</v>
      </c>
      <c r="H68" s="13">
        <v>4</v>
      </c>
      <c r="I68" s="1" t="s">
        <v>688</v>
      </c>
      <c r="J68" s="1" t="s">
        <v>742</v>
      </c>
      <c r="K68" s="1" t="s">
        <v>80</v>
      </c>
    </row>
    <row r="69" spans="1:11" x14ac:dyDescent="0.25">
      <c r="A69" s="11" t="s">
        <v>352</v>
      </c>
      <c r="B69" s="1" t="s">
        <v>77</v>
      </c>
      <c r="C69" s="13" t="s">
        <v>835</v>
      </c>
      <c r="D69" s="13" t="s">
        <v>996</v>
      </c>
      <c r="E69" s="1" t="s">
        <v>987</v>
      </c>
      <c r="F69" s="12">
        <v>1</v>
      </c>
      <c r="G69" s="13">
        <v>1</v>
      </c>
      <c r="H69" s="13">
        <v>4</v>
      </c>
      <c r="I69" s="1" t="s">
        <v>688</v>
      </c>
      <c r="J69" s="1" t="s">
        <v>743</v>
      </c>
      <c r="K69" s="1" t="s">
        <v>81</v>
      </c>
    </row>
    <row r="70" spans="1:11" x14ac:dyDescent="0.25">
      <c r="A70" s="11" t="s">
        <v>353</v>
      </c>
      <c r="B70" s="1" t="s">
        <v>77</v>
      </c>
      <c r="C70" s="13" t="s">
        <v>836</v>
      </c>
      <c r="D70" s="13" t="s">
        <v>996</v>
      </c>
      <c r="E70" s="1" t="s">
        <v>987</v>
      </c>
      <c r="F70" s="12">
        <v>1</v>
      </c>
      <c r="G70" s="13">
        <v>1</v>
      </c>
      <c r="H70" s="13">
        <v>4</v>
      </c>
      <c r="I70" s="1" t="s">
        <v>688</v>
      </c>
      <c r="J70" s="1" t="s">
        <v>744</v>
      </c>
      <c r="K70" s="1" t="s">
        <v>82</v>
      </c>
    </row>
    <row r="71" spans="1:11" x14ac:dyDescent="0.25">
      <c r="A71" s="11" t="s">
        <v>354</v>
      </c>
      <c r="B71" s="1" t="s">
        <v>77</v>
      </c>
      <c r="C71" s="13" t="s">
        <v>837</v>
      </c>
      <c r="D71" s="13" t="s">
        <v>996</v>
      </c>
      <c r="E71" s="1" t="s">
        <v>987</v>
      </c>
      <c r="F71" s="12">
        <v>1</v>
      </c>
      <c r="G71" s="13">
        <v>1</v>
      </c>
      <c r="H71" s="13">
        <v>4</v>
      </c>
      <c r="I71" s="1" t="s">
        <v>688</v>
      </c>
      <c r="J71" s="1" t="s">
        <v>745</v>
      </c>
      <c r="K71" s="1" t="s">
        <v>83</v>
      </c>
    </row>
    <row r="72" spans="1:11" x14ac:dyDescent="0.25">
      <c r="A72" s="11" t="s">
        <v>355</v>
      </c>
      <c r="B72" s="1" t="s">
        <v>77</v>
      </c>
      <c r="C72" s="13" t="s">
        <v>838</v>
      </c>
      <c r="D72" s="13" t="s">
        <v>996</v>
      </c>
      <c r="E72" s="1" t="s">
        <v>895</v>
      </c>
      <c r="F72" s="12">
        <v>1</v>
      </c>
      <c r="G72" s="13">
        <v>2</v>
      </c>
      <c r="H72" s="13">
        <v>7</v>
      </c>
      <c r="I72" s="1" t="s">
        <v>688</v>
      </c>
      <c r="J72" s="1" t="s">
        <v>746</v>
      </c>
      <c r="K72" s="1" t="s">
        <v>84</v>
      </c>
    </row>
    <row r="73" spans="1:11" x14ac:dyDescent="0.25">
      <c r="A73" s="11" t="s">
        <v>356</v>
      </c>
      <c r="B73" s="1" t="s">
        <v>77</v>
      </c>
      <c r="C73" s="13" t="s">
        <v>839</v>
      </c>
      <c r="D73" s="13" t="s">
        <v>996</v>
      </c>
      <c r="E73" s="1" t="s">
        <v>987</v>
      </c>
      <c r="F73" s="12">
        <v>1</v>
      </c>
      <c r="G73" s="13">
        <v>1</v>
      </c>
      <c r="H73" s="13">
        <v>4</v>
      </c>
      <c r="I73" s="1" t="s">
        <v>688</v>
      </c>
      <c r="J73" s="1" t="s">
        <v>747</v>
      </c>
      <c r="K73" s="1" t="s">
        <v>85</v>
      </c>
    </row>
    <row r="74" spans="1:11" x14ac:dyDescent="0.25">
      <c r="A74" s="11" t="s">
        <v>357</v>
      </c>
      <c r="B74" s="1" t="s">
        <v>77</v>
      </c>
      <c r="C74" s="13" t="s">
        <v>840</v>
      </c>
      <c r="D74" s="13" t="s">
        <v>996</v>
      </c>
      <c r="E74" s="1" t="s">
        <v>987</v>
      </c>
      <c r="F74" s="12">
        <v>1</v>
      </c>
      <c r="G74" s="13">
        <v>1</v>
      </c>
      <c r="H74" s="13">
        <v>4</v>
      </c>
      <c r="I74" s="1" t="s">
        <v>688</v>
      </c>
      <c r="J74" s="1" t="s">
        <v>748</v>
      </c>
      <c r="K74" s="1" t="s">
        <v>86</v>
      </c>
    </row>
    <row r="75" spans="1:11" x14ac:dyDescent="0.25">
      <c r="A75" s="11" t="s">
        <v>358</v>
      </c>
      <c r="B75" s="1" t="s">
        <v>77</v>
      </c>
      <c r="C75" s="13" t="s">
        <v>841</v>
      </c>
      <c r="D75" s="13" t="s">
        <v>996</v>
      </c>
      <c r="E75" s="1" t="s">
        <v>987</v>
      </c>
      <c r="F75" s="12">
        <v>1</v>
      </c>
      <c r="G75" s="13">
        <v>1</v>
      </c>
      <c r="H75" s="13">
        <v>4</v>
      </c>
      <c r="I75" s="1" t="s">
        <v>688</v>
      </c>
      <c r="J75" s="1" t="s">
        <v>749</v>
      </c>
      <c r="K75" s="1" t="s">
        <v>87</v>
      </c>
    </row>
    <row r="76" spans="1:11" x14ac:dyDescent="0.25">
      <c r="A76" s="11" t="s">
        <v>359</v>
      </c>
      <c r="B76" s="1" t="s">
        <v>77</v>
      </c>
      <c r="C76" s="13" t="s">
        <v>842</v>
      </c>
      <c r="D76" s="13" t="s">
        <v>996</v>
      </c>
      <c r="E76" s="1" t="s">
        <v>987</v>
      </c>
      <c r="F76" s="12">
        <v>1</v>
      </c>
      <c r="G76" s="13">
        <v>1</v>
      </c>
      <c r="H76" s="13">
        <v>4</v>
      </c>
      <c r="I76" s="1" t="s">
        <v>688</v>
      </c>
      <c r="J76" s="1" t="s">
        <v>750</v>
      </c>
      <c r="K76" s="1" t="s">
        <v>88</v>
      </c>
    </row>
    <row r="77" spans="1:11" x14ac:dyDescent="0.25">
      <c r="A77" s="11" t="s">
        <v>360</v>
      </c>
      <c r="B77" s="1" t="s">
        <v>77</v>
      </c>
      <c r="C77" s="13" t="s">
        <v>843</v>
      </c>
      <c r="D77" s="13" t="s">
        <v>996</v>
      </c>
      <c r="E77" s="1" t="s">
        <v>987</v>
      </c>
      <c r="F77" s="12">
        <v>1</v>
      </c>
      <c r="G77" s="13">
        <v>1</v>
      </c>
      <c r="H77" s="13">
        <v>4</v>
      </c>
      <c r="I77" s="1" t="s">
        <v>688</v>
      </c>
      <c r="J77" s="1" t="s">
        <v>751</v>
      </c>
      <c r="K77" s="1" t="s">
        <v>89</v>
      </c>
    </row>
    <row r="78" spans="1:11" x14ac:dyDescent="0.25">
      <c r="A78" s="11" t="s">
        <v>361</v>
      </c>
      <c r="B78" s="1" t="s">
        <v>77</v>
      </c>
      <c r="C78" s="13" t="s">
        <v>844</v>
      </c>
      <c r="D78" s="13" t="s">
        <v>996</v>
      </c>
      <c r="E78" s="1" t="s">
        <v>987</v>
      </c>
      <c r="F78" s="12">
        <v>1</v>
      </c>
      <c r="G78" s="13">
        <v>1</v>
      </c>
      <c r="H78" s="13">
        <v>4</v>
      </c>
      <c r="I78" s="1" t="s">
        <v>688</v>
      </c>
      <c r="J78" s="1" t="s">
        <v>752</v>
      </c>
      <c r="K78" s="1" t="s">
        <v>90</v>
      </c>
    </row>
    <row r="79" spans="1:11" x14ac:dyDescent="0.25">
      <c r="A79" s="11" t="s">
        <v>362</v>
      </c>
      <c r="B79" s="1" t="s">
        <v>77</v>
      </c>
      <c r="C79" s="13" t="s">
        <v>845</v>
      </c>
      <c r="D79" s="13" t="s">
        <v>996</v>
      </c>
      <c r="E79" s="1" t="s">
        <v>987</v>
      </c>
      <c r="F79" s="12">
        <v>1</v>
      </c>
      <c r="G79" s="13">
        <v>1</v>
      </c>
      <c r="H79" s="13">
        <v>4</v>
      </c>
      <c r="I79" s="1" t="s">
        <v>688</v>
      </c>
      <c r="J79" s="1" t="s">
        <v>753</v>
      </c>
      <c r="K79" s="1" t="s">
        <v>91</v>
      </c>
    </row>
    <row r="80" spans="1:11" x14ac:dyDescent="0.25">
      <c r="A80" s="11" t="s">
        <v>363</v>
      </c>
      <c r="B80" s="1" t="s">
        <v>77</v>
      </c>
      <c r="C80" s="13" t="s">
        <v>846</v>
      </c>
      <c r="D80" s="13" t="s">
        <v>996</v>
      </c>
      <c r="E80" s="1" t="s">
        <v>895</v>
      </c>
      <c r="F80" s="12">
        <v>1</v>
      </c>
      <c r="G80" s="13">
        <v>2</v>
      </c>
      <c r="H80" s="13">
        <v>7</v>
      </c>
      <c r="I80" s="1" t="s">
        <v>688</v>
      </c>
      <c r="J80" s="1" t="s">
        <v>754</v>
      </c>
      <c r="K80" s="1" t="s">
        <v>92</v>
      </c>
    </row>
    <row r="81" spans="1:11" x14ac:dyDescent="0.25">
      <c r="A81" s="11" t="s">
        <v>364</v>
      </c>
      <c r="B81" s="1" t="s">
        <v>77</v>
      </c>
      <c r="C81" s="13" t="s">
        <v>847</v>
      </c>
      <c r="D81" s="13" t="s">
        <v>996</v>
      </c>
      <c r="E81" s="1" t="s">
        <v>987</v>
      </c>
      <c r="F81" s="12">
        <v>1</v>
      </c>
      <c r="G81" s="13">
        <v>1</v>
      </c>
      <c r="H81" s="13">
        <v>4</v>
      </c>
      <c r="I81" s="1" t="s">
        <v>688</v>
      </c>
      <c r="J81" s="1" t="s">
        <v>755</v>
      </c>
      <c r="K81" s="1" t="s">
        <v>93</v>
      </c>
    </row>
    <row r="82" spans="1:11" x14ac:dyDescent="0.25">
      <c r="A82" s="11" t="s">
        <v>365</v>
      </c>
      <c r="B82" s="1" t="s">
        <v>77</v>
      </c>
      <c r="C82" s="13" t="s">
        <v>848</v>
      </c>
      <c r="D82" s="13" t="s">
        <v>996</v>
      </c>
      <c r="E82" s="1" t="s">
        <v>987</v>
      </c>
      <c r="F82" s="12">
        <v>1</v>
      </c>
      <c r="G82" s="13">
        <v>1</v>
      </c>
      <c r="H82" s="13">
        <v>4</v>
      </c>
      <c r="I82" s="1" t="s">
        <v>688</v>
      </c>
      <c r="J82" s="1" t="s">
        <v>756</v>
      </c>
      <c r="K82" s="1" t="s">
        <v>94</v>
      </c>
    </row>
    <row r="83" spans="1:11" x14ac:dyDescent="0.25">
      <c r="A83" s="11" t="s">
        <v>366</v>
      </c>
      <c r="B83" s="1" t="s">
        <v>77</v>
      </c>
      <c r="C83" s="13" t="s">
        <v>849</v>
      </c>
      <c r="D83" s="13" t="s">
        <v>996</v>
      </c>
      <c r="E83" s="1" t="s">
        <v>987</v>
      </c>
      <c r="F83" s="12">
        <v>1</v>
      </c>
      <c r="G83" s="13">
        <v>1</v>
      </c>
      <c r="H83" s="13">
        <v>4</v>
      </c>
      <c r="I83" s="1" t="s">
        <v>688</v>
      </c>
      <c r="J83" s="1" t="s">
        <v>757</v>
      </c>
      <c r="K83" s="1" t="s">
        <v>95</v>
      </c>
    </row>
    <row r="84" spans="1:11" x14ac:dyDescent="0.25">
      <c r="A84" s="11" t="s">
        <v>367</v>
      </c>
      <c r="B84" s="1" t="s">
        <v>77</v>
      </c>
      <c r="C84" s="13" t="s">
        <v>850</v>
      </c>
      <c r="D84" s="13" t="s">
        <v>996</v>
      </c>
      <c r="E84" s="1" t="s">
        <v>987</v>
      </c>
      <c r="F84" s="12">
        <v>1</v>
      </c>
      <c r="G84" s="13">
        <v>1</v>
      </c>
      <c r="H84" s="13">
        <v>4</v>
      </c>
      <c r="I84" s="1" t="s">
        <v>688</v>
      </c>
      <c r="J84" s="1" t="s">
        <v>758</v>
      </c>
      <c r="K84" s="1" t="s">
        <v>96</v>
      </c>
    </row>
    <row r="85" spans="1:11" x14ac:dyDescent="0.25">
      <c r="A85" s="11" t="s">
        <v>368</v>
      </c>
      <c r="B85" s="1" t="s">
        <v>77</v>
      </c>
      <c r="C85" s="13" t="s">
        <v>851</v>
      </c>
      <c r="D85" s="13" t="s">
        <v>996</v>
      </c>
      <c r="E85" s="1" t="s">
        <v>987</v>
      </c>
      <c r="F85" s="12">
        <v>1</v>
      </c>
      <c r="G85" s="13">
        <v>1</v>
      </c>
      <c r="H85" s="13">
        <v>4</v>
      </c>
      <c r="I85" s="1" t="s">
        <v>688</v>
      </c>
      <c r="J85" s="1" t="s">
        <v>759</v>
      </c>
      <c r="K85" s="1" t="s">
        <v>97</v>
      </c>
    </row>
    <row r="86" spans="1:11" x14ac:dyDescent="0.25">
      <c r="A86" s="11" t="s">
        <v>369</v>
      </c>
      <c r="B86" s="1" t="s">
        <v>77</v>
      </c>
      <c r="C86" s="13" t="s">
        <v>852</v>
      </c>
      <c r="D86" s="13" t="s">
        <v>996</v>
      </c>
      <c r="E86" s="1" t="s">
        <v>987</v>
      </c>
      <c r="F86" s="12">
        <v>1</v>
      </c>
      <c r="G86" s="13">
        <v>1</v>
      </c>
      <c r="H86" s="13">
        <v>4</v>
      </c>
      <c r="I86" s="1" t="s">
        <v>688</v>
      </c>
      <c r="J86" s="1" t="s">
        <v>760</v>
      </c>
      <c r="K86" s="1" t="s">
        <v>98</v>
      </c>
    </row>
    <row r="87" spans="1:11" x14ac:dyDescent="0.25">
      <c r="A87" s="11" t="s">
        <v>370</v>
      </c>
      <c r="B87" s="1" t="s">
        <v>77</v>
      </c>
      <c r="C87" s="13" t="s">
        <v>853</v>
      </c>
      <c r="D87" s="13" t="s">
        <v>996</v>
      </c>
      <c r="E87" s="1" t="s">
        <v>987</v>
      </c>
      <c r="F87" s="12">
        <v>1</v>
      </c>
      <c r="G87" s="13">
        <v>1</v>
      </c>
      <c r="H87" s="13">
        <v>4</v>
      </c>
      <c r="I87" s="1" t="s">
        <v>688</v>
      </c>
      <c r="J87" s="1" t="s">
        <v>761</v>
      </c>
      <c r="K87" s="1" t="s">
        <v>99</v>
      </c>
    </row>
    <row r="88" spans="1:11" x14ac:dyDescent="0.25">
      <c r="A88" s="11" t="s">
        <v>371</v>
      </c>
      <c r="B88" s="1" t="s">
        <v>77</v>
      </c>
      <c r="C88" s="13" t="s">
        <v>854</v>
      </c>
      <c r="D88" s="13" t="s">
        <v>996</v>
      </c>
      <c r="E88" s="1" t="s">
        <v>895</v>
      </c>
      <c r="F88" s="12">
        <v>1</v>
      </c>
      <c r="G88" s="13">
        <v>2</v>
      </c>
      <c r="H88" s="13">
        <v>7</v>
      </c>
      <c r="I88" s="1" t="s">
        <v>688</v>
      </c>
      <c r="J88" s="1" t="s">
        <v>762</v>
      </c>
      <c r="K88" s="1" t="s">
        <v>100</v>
      </c>
    </row>
    <row r="89" spans="1:11" x14ac:dyDescent="0.25">
      <c r="A89" s="11" t="s">
        <v>372</v>
      </c>
      <c r="B89" s="1" t="s">
        <v>77</v>
      </c>
      <c r="C89" s="13" t="s">
        <v>855</v>
      </c>
      <c r="D89" s="13" t="s">
        <v>996</v>
      </c>
      <c r="E89" s="1" t="s">
        <v>987</v>
      </c>
      <c r="F89" s="12">
        <v>1</v>
      </c>
      <c r="G89" s="13">
        <v>1</v>
      </c>
      <c r="H89" s="13">
        <v>4</v>
      </c>
      <c r="I89" s="1" t="s">
        <v>688</v>
      </c>
      <c r="J89" s="1" t="s">
        <v>763</v>
      </c>
      <c r="K89" s="1" t="s">
        <v>101</v>
      </c>
    </row>
    <row r="90" spans="1:11" x14ac:dyDescent="0.25">
      <c r="A90" s="11" t="s">
        <v>373</v>
      </c>
      <c r="B90" s="1" t="s">
        <v>77</v>
      </c>
      <c r="C90" s="13" t="s">
        <v>856</v>
      </c>
      <c r="D90" s="13" t="s">
        <v>996</v>
      </c>
      <c r="E90" s="1" t="s">
        <v>987</v>
      </c>
      <c r="F90" s="12">
        <v>1</v>
      </c>
      <c r="G90" s="13">
        <v>1</v>
      </c>
      <c r="H90" s="13">
        <v>4</v>
      </c>
      <c r="I90" s="1" t="s">
        <v>688</v>
      </c>
      <c r="J90" s="1" t="s">
        <v>764</v>
      </c>
      <c r="K90" s="1" t="s">
        <v>102</v>
      </c>
    </row>
    <row r="91" spans="1:11" x14ac:dyDescent="0.25">
      <c r="A91" s="11" t="s">
        <v>374</v>
      </c>
      <c r="B91" s="1" t="s">
        <v>77</v>
      </c>
      <c r="C91" s="13" t="s">
        <v>857</v>
      </c>
      <c r="D91" s="13" t="s">
        <v>996</v>
      </c>
      <c r="E91" s="1" t="s">
        <v>987</v>
      </c>
      <c r="F91" s="12">
        <v>1</v>
      </c>
      <c r="G91" s="13">
        <v>1</v>
      </c>
      <c r="H91" s="13">
        <v>4</v>
      </c>
      <c r="I91" s="1" t="s">
        <v>688</v>
      </c>
      <c r="J91" s="1" t="s">
        <v>765</v>
      </c>
      <c r="K91" s="1" t="s">
        <v>103</v>
      </c>
    </row>
    <row r="92" spans="1:11" x14ac:dyDescent="0.25">
      <c r="A92" s="11" t="s">
        <v>375</v>
      </c>
      <c r="B92" s="1" t="s">
        <v>77</v>
      </c>
      <c r="C92" s="13" t="s">
        <v>858</v>
      </c>
      <c r="D92" s="13" t="s">
        <v>996</v>
      </c>
      <c r="E92" s="1" t="s">
        <v>987</v>
      </c>
      <c r="F92" s="12">
        <v>1</v>
      </c>
      <c r="G92" s="13">
        <v>1</v>
      </c>
      <c r="H92" s="13">
        <v>4</v>
      </c>
      <c r="I92" s="1" t="s">
        <v>688</v>
      </c>
      <c r="J92" s="1" t="s">
        <v>766</v>
      </c>
      <c r="K92" s="1" t="s">
        <v>104</v>
      </c>
    </row>
    <row r="93" spans="1:11" x14ac:dyDescent="0.25">
      <c r="A93" s="11" t="s">
        <v>376</v>
      </c>
      <c r="B93" s="1" t="s">
        <v>77</v>
      </c>
      <c r="C93" s="13" t="s">
        <v>859</v>
      </c>
      <c r="D93" s="13" t="s">
        <v>996</v>
      </c>
      <c r="E93" s="1" t="s">
        <v>987</v>
      </c>
      <c r="F93" s="12">
        <v>1</v>
      </c>
      <c r="G93" s="13">
        <v>1</v>
      </c>
      <c r="H93" s="13">
        <v>4</v>
      </c>
      <c r="I93" s="1" t="s">
        <v>688</v>
      </c>
      <c r="J93" s="1" t="s">
        <v>767</v>
      </c>
      <c r="K93" s="1" t="s">
        <v>105</v>
      </c>
    </row>
    <row r="94" spans="1:11" x14ac:dyDescent="0.25">
      <c r="A94" s="11" t="s">
        <v>377</v>
      </c>
      <c r="B94" s="1" t="s">
        <v>77</v>
      </c>
      <c r="C94" s="13" t="s">
        <v>860</v>
      </c>
      <c r="D94" s="13" t="s">
        <v>996</v>
      </c>
      <c r="E94" s="1" t="s">
        <v>987</v>
      </c>
      <c r="F94" s="12">
        <v>1</v>
      </c>
      <c r="G94" s="13">
        <v>1</v>
      </c>
      <c r="H94" s="13">
        <v>4</v>
      </c>
      <c r="I94" s="1" t="s">
        <v>688</v>
      </c>
      <c r="J94" s="1" t="s">
        <v>768</v>
      </c>
      <c r="K94" s="1" t="s">
        <v>106</v>
      </c>
    </row>
    <row r="95" spans="1:11" x14ac:dyDescent="0.25">
      <c r="A95" s="11" t="s">
        <v>378</v>
      </c>
      <c r="B95" s="1" t="s">
        <v>77</v>
      </c>
      <c r="C95" s="13" t="s">
        <v>861</v>
      </c>
      <c r="D95" s="13" t="s">
        <v>996</v>
      </c>
      <c r="E95" s="1" t="s">
        <v>987</v>
      </c>
      <c r="F95" s="12">
        <v>1</v>
      </c>
      <c r="G95" s="13">
        <v>1</v>
      </c>
      <c r="H95" s="13">
        <v>4</v>
      </c>
      <c r="I95" s="1" t="s">
        <v>688</v>
      </c>
      <c r="J95" s="1" t="s">
        <v>769</v>
      </c>
      <c r="K95" s="1" t="s">
        <v>107</v>
      </c>
    </row>
    <row r="96" spans="1:11" x14ac:dyDescent="0.25">
      <c r="A96" s="11" t="s">
        <v>379</v>
      </c>
      <c r="B96" s="1" t="s">
        <v>77</v>
      </c>
      <c r="C96" s="13" t="s">
        <v>862</v>
      </c>
      <c r="D96" s="13" t="s">
        <v>996</v>
      </c>
      <c r="E96" s="1" t="s">
        <v>895</v>
      </c>
      <c r="F96" s="12">
        <v>1</v>
      </c>
      <c r="G96" s="13">
        <v>2</v>
      </c>
      <c r="H96" s="13">
        <v>7</v>
      </c>
      <c r="I96" s="1" t="s">
        <v>688</v>
      </c>
      <c r="J96" s="1" t="s">
        <v>770</v>
      </c>
      <c r="K96" s="1" t="s">
        <v>108</v>
      </c>
    </row>
    <row r="97" spans="1:11" x14ac:dyDescent="0.25">
      <c r="A97" s="11" t="s">
        <v>380</v>
      </c>
      <c r="B97" s="1" t="s">
        <v>77</v>
      </c>
      <c r="C97" s="13" t="s">
        <v>863</v>
      </c>
      <c r="D97" s="13" t="s">
        <v>996</v>
      </c>
      <c r="E97" s="1" t="s">
        <v>987</v>
      </c>
      <c r="F97" s="12">
        <v>1</v>
      </c>
      <c r="G97" s="13">
        <v>1</v>
      </c>
      <c r="H97" s="13">
        <v>4</v>
      </c>
      <c r="I97" s="1" t="s">
        <v>688</v>
      </c>
      <c r="J97" s="1" t="s">
        <v>771</v>
      </c>
      <c r="K97" s="1" t="s">
        <v>109</v>
      </c>
    </row>
    <row r="98" spans="1:11" x14ac:dyDescent="0.25">
      <c r="A98" s="11" t="s">
        <v>381</v>
      </c>
      <c r="B98" s="1" t="s">
        <v>77</v>
      </c>
      <c r="C98" s="13" t="s">
        <v>864</v>
      </c>
      <c r="D98" s="13" t="s">
        <v>996</v>
      </c>
      <c r="E98" s="1" t="s">
        <v>987</v>
      </c>
      <c r="F98" s="12">
        <v>1</v>
      </c>
      <c r="G98" s="13">
        <v>1</v>
      </c>
      <c r="H98" s="13">
        <v>4</v>
      </c>
      <c r="I98" s="1" t="s">
        <v>688</v>
      </c>
      <c r="J98" s="1" t="s">
        <v>772</v>
      </c>
      <c r="K98" s="1" t="s">
        <v>110</v>
      </c>
    </row>
    <row r="99" spans="1:11" x14ac:dyDescent="0.25">
      <c r="A99" s="11" t="s">
        <v>382</v>
      </c>
      <c r="B99" s="1" t="s">
        <v>77</v>
      </c>
      <c r="C99" s="13" t="s">
        <v>865</v>
      </c>
      <c r="D99" s="13" t="s">
        <v>996</v>
      </c>
      <c r="E99" s="1" t="s">
        <v>987</v>
      </c>
      <c r="F99" s="12">
        <v>1</v>
      </c>
      <c r="G99" s="13">
        <v>1</v>
      </c>
      <c r="H99" s="13">
        <v>4</v>
      </c>
      <c r="I99" s="1" t="s">
        <v>688</v>
      </c>
      <c r="J99" s="1" t="s">
        <v>773</v>
      </c>
      <c r="K99" s="1" t="s">
        <v>111</v>
      </c>
    </row>
    <row r="100" spans="1:11" x14ac:dyDescent="0.25">
      <c r="A100" s="11" t="s">
        <v>383</v>
      </c>
      <c r="B100" s="1" t="s">
        <v>77</v>
      </c>
      <c r="C100" s="13" t="s">
        <v>866</v>
      </c>
      <c r="D100" s="13" t="s">
        <v>996</v>
      </c>
      <c r="E100" s="1" t="s">
        <v>987</v>
      </c>
      <c r="F100" s="12">
        <v>1</v>
      </c>
      <c r="G100" s="13">
        <v>1</v>
      </c>
      <c r="H100" s="13">
        <v>4</v>
      </c>
      <c r="I100" s="1" t="s">
        <v>688</v>
      </c>
      <c r="J100" s="1" t="s">
        <v>774</v>
      </c>
      <c r="K100" s="1" t="s">
        <v>112</v>
      </c>
    </row>
    <row r="101" spans="1:11" x14ac:dyDescent="0.25">
      <c r="A101" s="11" t="s">
        <v>384</v>
      </c>
      <c r="B101" s="1" t="s">
        <v>77</v>
      </c>
      <c r="C101" s="13" t="s">
        <v>867</v>
      </c>
      <c r="D101" s="13" t="s">
        <v>996</v>
      </c>
      <c r="E101" s="1" t="s">
        <v>987</v>
      </c>
      <c r="F101" s="12">
        <v>1</v>
      </c>
      <c r="G101" s="13">
        <v>1</v>
      </c>
      <c r="H101" s="13">
        <v>4</v>
      </c>
      <c r="I101" s="1" t="s">
        <v>688</v>
      </c>
      <c r="J101" s="1" t="s">
        <v>775</v>
      </c>
      <c r="K101" s="1" t="s">
        <v>113</v>
      </c>
    </row>
    <row r="102" spans="1:11" x14ac:dyDescent="0.25">
      <c r="A102" s="11" t="s">
        <v>385</v>
      </c>
      <c r="B102" s="1" t="s">
        <v>77</v>
      </c>
      <c r="C102" s="13" t="s">
        <v>868</v>
      </c>
      <c r="D102" s="13" t="s">
        <v>996</v>
      </c>
      <c r="E102" s="1" t="s">
        <v>987</v>
      </c>
      <c r="F102" s="12">
        <v>1</v>
      </c>
      <c r="G102" s="13">
        <v>1</v>
      </c>
      <c r="H102" s="13">
        <v>4</v>
      </c>
      <c r="I102" s="1" t="s">
        <v>688</v>
      </c>
      <c r="J102" s="1" t="s">
        <v>776</v>
      </c>
      <c r="K102" s="1" t="s">
        <v>114</v>
      </c>
    </row>
    <row r="103" spans="1:11" x14ac:dyDescent="0.25">
      <c r="A103" s="11" t="s">
        <v>386</v>
      </c>
      <c r="B103" s="1" t="s">
        <v>77</v>
      </c>
      <c r="C103" s="13" t="s">
        <v>869</v>
      </c>
      <c r="D103" s="13" t="s">
        <v>996</v>
      </c>
      <c r="E103" s="1" t="s">
        <v>987</v>
      </c>
      <c r="F103" s="12">
        <v>1</v>
      </c>
      <c r="G103" s="13">
        <v>1</v>
      </c>
      <c r="H103" s="13">
        <v>4</v>
      </c>
      <c r="I103" s="1" t="s">
        <v>688</v>
      </c>
      <c r="J103" s="1" t="s">
        <v>777</v>
      </c>
      <c r="K103" s="1" t="s">
        <v>115</v>
      </c>
    </row>
    <row r="104" spans="1:11" x14ac:dyDescent="0.25">
      <c r="A104" s="11" t="s">
        <v>387</v>
      </c>
      <c r="B104" s="1" t="s">
        <v>77</v>
      </c>
      <c r="C104" s="13" t="s">
        <v>870</v>
      </c>
      <c r="D104" s="13" t="s">
        <v>996</v>
      </c>
      <c r="E104" s="1" t="s">
        <v>895</v>
      </c>
      <c r="F104" s="12">
        <v>1</v>
      </c>
      <c r="G104" s="13">
        <v>2</v>
      </c>
      <c r="H104" s="13">
        <v>7</v>
      </c>
      <c r="I104" s="1" t="s">
        <v>688</v>
      </c>
      <c r="J104" s="1" t="s">
        <v>778</v>
      </c>
      <c r="K104" s="1" t="s">
        <v>116</v>
      </c>
    </row>
    <row r="105" spans="1:11" x14ac:dyDescent="0.25">
      <c r="A105" s="11" t="s">
        <v>388</v>
      </c>
      <c r="B105" s="1" t="s">
        <v>77</v>
      </c>
      <c r="C105" s="13" t="s">
        <v>871</v>
      </c>
      <c r="D105" s="13" t="s">
        <v>996</v>
      </c>
      <c r="E105" s="1" t="s">
        <v>987</v>
      </c>
      <c r="F105" s="12">
        <v>1</v>
      </c>
      <c r="G105" s="13">
        <v>1</v>
      </c>
      <c r="H105" s="13">
        <v>4</v>
      </c>
      <c r="I105" s="1" t="s">
        <v>688</v>
      </c>
      <c r="J105" s="1" t="s">
        <v>779</v>
      </c>
      <c r="K105" s="1" t="s">
        <v>117</v>
      </c>
    </row>
    <row r="106" spans="1:11" x14ac:dyDescent="0.25">
      <c r="A106" s="11" t="s">
        <v>389</v>
      </c>
      <c r="B106" s="1" t="s">
        <v>77</v>
      </c>
      <c r="C106" s="13" t="s">
        <v>872</v>
      </c>
      <c r="D106" s="13" t="s">
        <v>996</v>
      </c>
      <c r="E106" s="1" t="s">
        <v>987</v>
      </c>
      <c r="F106" s="12">
        <v>1</v>
      </c>
      <c r="G106" s="13">
        <v>1</v>
      </c>
      <c r="H106" s="13">
        <v>4</v>
      </c>
      <c r="I106" s="1" t="s">
        <v>688</v>
      </c>
      <c r="J106" s="1" t="s">
        <v>780</v>
      </c>
      <c r="K106" s="1" t="s">
        <v>118</v>
      </c>
    </row>
    <row r="107" spans="1:11" x14ac:dyDescent="0.25">
      <c r="A107" s="11" t="s">
        <v>390</v>
      </c>
      <c r="B107" s="1" t="s">
        <v>77</v>
      </c>
      <c r="C107" s="13" t="s">
        <v>873</v>
      </c>
      <c r="D107" s="13" t="s">
        <v>996</v>
      </c>
      <c r="E107" s="1" t="s">
        <v>987</v>
      </c>
      <c r="F107" s="12">
        <v>1</v>
      </c>
      <c r="G107" s="13">
        <v>1</v>
      </c>
      <c r="H107" s="13">
        <v>4</v>
      </c>
      <c r="I107" s="1" t="s">
        <v>688</v>
      </c>
      <c r="J107" s="1" t="s">
        <v>781</v>
      </c>
      <c r="K107" s="1" t="s">
        <v>119</v>
      </c>
    </row>
    <row r="108" spans="1:11" x14ac:dyDescent="0.25">
      <c r="A108" s="11" t="s">
        <v>391</v>
      </c>
      <c r="B108" s="1" t="s">
        <v>77</v>
      </c>
      <c r="C108" s="13" t="s">
        <v>874</v>
      </c>
      <c r="D108" s="13" t="s">
        <v>996</v>
      </c>
      <c r="E108" s="1" t="s">
        <v>987</v>
      </c>
      <c r="F108" s="12">
        <v>1</v>
      </c>
      <c r="G108" s="13">
        <v>1</v>
      </c>
      <c r="H108" s="13">
        <v>4</v>
      </c>
      <c r="I108" s="1" t="s">
        <v>688</v>
      </c>
      <c r="J108" s="1" t="s">
        <v>782</v>
      </c>
      <c r="K108" s="1" t="s">
        <v>120</v>
      </c>
    </row>
    <row r="109" spans="1:11" x14ac:dyDescent="0.25">
      <c r="A109" s="11" t="s">
        <v>392</v>
      </c>
      <c r="B109" s="1" t="s">
        <v>77</v>
      </c>
      <c r="C109" s="13" t="s">
        <v>875</v>
      </c>
      <c r="D109" s="13" t="s">
        <v>996</v>
      </c>
      <c r="E109" s="1" t="s">
        <v>987</v>
      </c>
      <c r="F109" s="12">
        <v>1</v>
      </c>
      <c r="G109" s="13">
        <v>1</v>
      </c>
      <c r="H109" s="13">
        <v>4</v>
      </c>
      <c r="I109" s="1" t="s">
        <v>688</v>
      </c>
      <c r="J109" s="1" t="s">
        <v>783</v>
      </c>
      <c r="K109" s="1" t="s">
        <v>121</v>
      </c>
    </row>
    <row r="110" spans="1:11" x14ac:dyDescent="0.25">
      <c r="A110" s="11" t="s">
        <v>393</v>
      </c>
      <c r="B110" s="1" t="s">
        <v>77</v>
      </c>
      <c r="C110" s="13" t="s">
        <v>876</v>
      </c>
      <c r="D110" s="13" t="s">
        <v>996</v>
      </c>
      <c r="E110" s="1" t="s">
        <v>987</v>
      </c>
      <c r="F110" s="12">
        <v>1</v>
      </c>
      <c r="G110" s="13">
        <v>1</v>
      </c>
      <c r="H110" s="13">
        <v>4</v>
      </c>
      <c r="I110" s="1" t="s">
        <v>688</v>
      </c>
      <c r="J110" s="1" t="s">
        <v>784</v>
      </c>
      <c r="K110" s="1" t="s">
        <v>122</v>
      </c>
    </row>
    <row r="111" spans="1:11" x14ac:dyDescent="0.25">
      <c r="A111" s="11" t="s">
        <v>394</v>
      </c>
      <c r="B111" s="1" t="s">
        <v>77</v>
      </c>
      <c r="C111" s="13" t="s">
        <v>877</v>
      </c>
      <c r="D111" s="13" t="s">
        <v>996</v>
      </c>
      <c r="E111" s="1" t="s">
        <v>987</v>
      </c>
      <c r="F111" s="12">
        <v>1</v>
      </c>
      <c r="G111" s="13">
        <v>1</v>
      </c>
      <c r="H111" s="13">
        <v>4</v>
      </c>
      <c r="I111" s="1" t="s">
        <v>688</v>
      </c>
      <c r="J111" s="1" t="s">
        <v>785</v>
      </c>
      <c r="K111" s="1" t="s">
        <v>123</v>
      </c>
    </row>
    <row r="112" spans="1:11" x14ac:dyDescent="0.25">
      <c r="A112" s="11" t="s">
        <v>395</v>
      </c>
      <c r="B112" s="1" t="s">
        <v>77</v>
      </c>
      <c r="C112" s="13" t="s">
        <v>878</v>
      </c>
      <c r="D112" s="13" t="s">
        <v>996</v>
      </c>
      <c r="E112" s="1" t="s">
        <v>895</v>
      </c>
      <c r="F112" s="12">
        <v>1</v>
      </c>
      <c r="G112" s="13">
        <v>2</v>
      </c>
      <c r="H112" s="13">
        <v>7</v>
      </c>
      <c r="I112" s="1" t="s">
        <v>688</v>
      </c>
      <c r="J112" s="1" t="s">
        <v>786</v>
      </c>
      <c r="K112" s="1" t="s">
        <v>124</v>
      </c>
    </row>
    <row r="113" spans="1:11" x14ac:dyDescent="0.25">
      <c r="A113" s="11" t="s">
        <v>396</v>
      </c>
      <c r="B113" s="1" t="s">
        <v>77</v>
      </c>
      <c r="C113" s="13" t="s">
        <v>879</v>
      </c>
      <c r="D113" s="13" t="s">
        <v>996</v>
      </c>
      <c r="E113" s="1" t="s">
        <v>987</v>
      </c>
      <c r="F113" s="12">
        <v>1</v>
      </c>
      <c r="G113" s="13">
        <v>1</v>
      </c>
      <c r="H113" s="13">
        <v>4</v>
      </c>
      <c r="I113" s="1" t="s">
        <v>688</v>
      </c>
      <c r="J113" s="1" t="s">
        <v>787</v>
      </c>
      <c r="K113" s="1" t="s">
        <v>125</v>
      </c>
    </row>
    <row r="114" spans="1:11" x14ac:dyDescent="0.25">
      <c r="A114" s="11" t="s">
        <v>397</v>
      </c>
      <c r="B114" s="1" t="s">
        <v>77</v>
      </c>
      <c r="C114" s="13" t="s">
        <v>880</v>
      </c>
      <c r="D114" s="13" t="s">
        <v>996</v>
      </c>
      <c r="E114" s="1" t="s">
        <v>895</v>
      </c>
      <c r="F114" s="12">
        <v>1</v>
      </c>
      <c r="G114" s="13">
        <v>2</v>
      </c>
      <c r="H114" s="13">
        <v>7</v>
      </c>
      <c r="I114" s="1" t="s">
        <v>688</v>
      </c>
      <c r="J114" s="1" t="s">
        <v>788</v>
      </c>
      <c r="K114" s="1" t="s">
        <v>126</v>
      </c>
    </row>
    <row r="115" spans="1:11" x14ac:dyDescent="0.25">
      <c r="A115" s="11" t="s">
        <v>398</v>
      </c>
      <c r="B115" s="1" t="s">
        <v>77</v>
      </c>
      <c r="C115" s="13" t="s">
        <v>881</v>
      </c>
      <c r="D115" s="13" t="s">
        <v>996</v>
      </c>
      <c r="E115" s="1" t="s">
        <v>895</v>
      </c>
      <c r="F115" s="12">
        <v>1</v>
      </c>
      <c r="G115" s="13">
        <v>2</v>
      </c>
      <c r="H115" s="13">
        <v>7</v>
      </c>
      <c r="I115" s="1" t="s">
        <v>688</v>
      </c>
      <c r="J115" s="1" t="s">
        <v>789</v>
      </c>
      <c r="K115" s="1" t="s">
        <v>127</v>
      </c>
    </row>
    <row r="116" spans="1:11" x14ac:dyDescent="0.25">
      <c r="A116" s="11" t="s">
        <v>399</v>
      </c>
      <c r="B116" s="1" t="s">
        <v>77</v>
      </c>
      <c r="C116" s="13" t="s">
        <v>882</v>
      </c>
      <c r="D116" s="13" t="s">
        <v>996</v>
      </c>
      <c r="E116" s="1" t="s">
        <v>895</v>
      </c>
      <c r="F116" s="12">
        <v>1</v>
      </c>
      <c r="G116" s="13">
        <v>2</v>
      </c>
      <c r="H116" s="13">
        <v>7</v>
      </c>
      <c r="I116" s="1" t="s">
        <v>688</v>
      </c>
      <c r="J116" s="1" t="s">
        <v>790</v>
      </c>
      <c r="K116" s="1" t="s">
        <v>128</v>
      </c>
    </row>
    <row r="117" spans="1:11" x14ac:dyDescent="0.25">
      <c r="A117" s="11" t="s">
        <v>400</v>
      </c>
      <c r="B117" s="1" t="s">
        <v>77</v>
      </c>
      <c r="C117" s="13" t="s">
        <v>883</v>
      </c>
      <c r="D117" s="13" t="s">
        <v>996</v>
      </c>
      <c r="E117" s="1" t="s">
        <v>895</v>
      </c>
      <c r="F117" s="12">
        <v>1</v>
      </c>
      <c r="G117" s="13">
        <v>2</v>
      </c>
      <c r="H117" s="13">
        <v>7</v>
      </c>
      <c r="I117" s="1" t="s">
        <v>688</v>
      </c>
      <c r="J117" s="1" t="s">
        <v>791</v>
      </c>
      <c r="K117" s="1" t="s">
        <v>129</v>
      </c>
    </row>
    <row r="118" spans="1:11" x14ac:dyDescent="0.25">
      <c r="A118" s="11" t="s">
        <v>401</v>
      </c>
      <c r="B118" s="1" t="s">
        <v>77</v>
      </c>
      <c r="C118" s="13" t="s">
        <v>884</v>
      </c>
      <c r="D118" s="13" t="s">
        <v>996</v>
      </c>
      <c r="E118" s="1" t="s">
        <v>895</v>
      </c>
      <c r="F118" s="12">
        <v>1</v>
      </c>
      <c r="G118" s="13">
        <v>2</v>
      </c>
      <c r="H118" s="13">
        <v>7</v>
      </c>
      <c r="I118" s="1" t="s">
        <v>688</v>
      </c>
      <c r="J118" s="1" t="s">
        <v>792</v>
      </c>
      <c r="K118" s="1" t="s">
        <v>130</v>
      </c>
    </row>
    <row r="119" spans="1:11" x14ac:dyDescent="0.25">
      <c r="A119" s="11" t="s">
        <v>402</v>
      </c>
      <c r="B119" s="1" t="s">
        <v>77</v>
      </c>
      <c r="C119" s="13" t="s">
        <v>885</v>
      </c>
      <c r="D119" s="13" t="s">
        <v>996</v>
      </c>
      <c r="E119" s="1" t="s">
        <v>895</v>
      </c>
      <c r="F119" s="12">
        <v>1</v>
      </c>
      <c r="G119" s="13">
        <v>2</v>
      </c>
      <c r="H119" s="13">
        <v>7</v>
      </c>
      <c r="I119" s="1" t="s">
        <v>688</v>
      </c>
      <c r="J119" s="1" t="s">
        <v>793</v>
      </c>
      <c r="K119" s="1" t="s">
        <v>131</v>
      </c>
    </row>
    <row r="120" spans="1:11" x14ac:dyDescent="0.25">
      <c r="A120" s="11" t="s">
        <v>403</v>
      </c>
      <c r="B120" s="1" t="s">
        <v>132</v>
      </c>
      <c r="D120" s="13" t="s">
        <v>994</v>
      </c>
      <c r="E120" s="1" t="s">
        <v>12</v>
      </c>
      <c r="F120" s="12">
        <v>1</v>
      </c>
      <c r="G120" s="13">
        <v>1</v>
      </c>
      <c r="H120" s="13">
        <v>5</v>
      </c>
      <c r="I120" s="1" t="s">
        <v>688</v>
      </c>
      <c r="J120" s="1" t="s">
        <v>132</v>
      </c>
      <c r="K120" s="1" t="s">
        <v>975</v>
      </c>
    </row>
    <row r="121" spans="1:11" x14ac:dyDescent="0.25">
      <c r="A121" s="11" t="s">
        <v>404</v>
      </c>
      <c r="B121" s="1" t="s">
        <v>77</v>
      </c>
      <c r="C121" s="13" t="s">
        <v>886</v>
      </c>
      <c r="D121" s="13" t="s">
        <v>996</v>
      </c>
      <c r="E121" s="1" t="s">
        <v>895</v>
      </c>
      <c r="F121" s="12">
        <v>1</v>
      </c>
      <c r="G121" s="13">
        <v>2</v>
      </c>
      <c r="H121" s="13">
        <v>7</v>
      </c>
      <c r="I121" s="1" t="s">
        <v>688</v>
      </c>
      <c r="J121" s="1" t="s">
        <v>794</v>
      </c>
      <c r="K121" s="1" t="s">
        <v>133</v>
      </c>
    </row>
    <row r="122" spans="1:11" x14ac:dyDescent="0.25">
      <c r="A122" s="11" t="s">
        <v>405</v>
      </c>
      <c r="B122" s="1" t="s">
        <v>77</v>
      </c>
      <c r="C122" s="13" t="s">
        <v>887</v>
      </c>
      <c r="D122" s="13" t="s">
        <v>996</v>
      </c>
      <c r="E122" s="1" t="s">
        <v>987</v>
      </c>
      <c r="F122" s="12">
        <v>1</v>
      </c>
      <c r="G122" s="13">
        <v>1</v>
      </c>
      <c r="H122" s="13">
        <v>4</v>
      </c>
      <c r="I122" s="1" t="s">
        <v>688</v>
      </c>
      <c r="J122" s="1" t="s">
        <v>795</v>
      </c>
      <c r="K122" s="1" t="s">
        <v>134</v>
      </c>
    </row>
    <row r="123" spans="1:11" x14ac:dyDescent="0.25">
      <c r="A123" s="11" t="s">
        <v>406</v>
      </c>
      <c r="B123" s="1" t="s">
        <v>77</v>
      </c>
      <c r="C123" s="13" t="s">
        <v>888</v>
      </c>
      <c r="D123" s="13" t="s">
        <v>996</v>
      </c>
      <c r="E123" s="1" t="s">
        <v>987</v>
      </c>
      <c r="F123" s="12">
        <v>1</v>
      </c>
      <c r="G123" s="13">
        <v>1</v>
      </c>
      <c r="H123" s="13">
        <v>4</v>
      </c>
      <c r="I123" s="1" t="s">
        <v>688</v>
      </c>
      <c r="J123" s="1" t="s">
        <v>796</v>
      </c>
      <c r="K123" s="1" t="s">
        <v>135</v>
      </c>
    </row>
    <row r="124" spans="1:11" x14ac:dyDescent="0.25">
      <c r="A124" s="11" t="s">
        <v>407</v>
      </c>
      <c r="B124" s="1" t="s">
        <v>77</v>
      </c>
      <c r="C124" s="13" t="s">
        <v>889</v>
      </c>
      <c r="D124" s="13" t="s">
        <v>996</v>
      </c>
      <c r="E124" s="1" t="s">
        <v>987</v>
      </c>
      <c r="F124" s="12">
        <v>1</v>
      </c>
      <c r="G124" s="13">
        <v>1</v>
      </c>
      <c r="H124" s="13">
        <v>4</v>
      </c>
      <c r="I124" s="1" t="s">
        <v>688</v>
      </c>
      <c r="J124" s="1" t="s">
        <v>797</v>
      </c>
      <c r="K124" s="1" t="s">
        <v>136</v>
      </c>
    </row>
    <row r="125" spans="1:11" x14ac:dyDescent="0.25">
      <c r="A125" s="11" t="s">
        <v>408</v>
      </c>
      <c r="B125" s="1" t="s">
        <v>77</v>
      </c>
      <c r="C125" s="13" t="s">
        <v>890</v>
      </c>
      <c r="D125" s="13" t="s">
        <v>996</v>
      </c>
      <c r="E125" s="1" t="s">
        <v>987</v>
      </c>
      <c r="F125" s="12">
        <v>1</v>
      </c>
      <c r="G125" s="13">
        <v>1</v>
      </c>
      <c r="H125" s="13">
        <v>4</v>
      </c>
      <c r="I125" s="1" t="s">
        <v>688</v>
      </c>
      <c r="J125" s="1" t="s">
        <v>798</v>
      </c>
      <c r="K125" s="1" t="s">
        <v>137</v>
      </c>
    </row>
    <row r="126" spans="1:11" x14ac:dyDescent="0.25">
      <c r="A126" s="11" t="s">
        <v>409</v>
      </c>
      <c r="B126" s="1" t="s">
        <v>77</v>
      </c>
      <c r="C126" s="13" t="s">
        <v>891</v>
      </c>
      <c r="D126" s="13" t="s">
        <v>996</v>
      </c>
      <c r="E126" s="1" t="s">
        <v>987</v>
      </c>
      <c r="F126" s="12">
        <v>1</v>
      </c>
      <c r="G126" s="13">
        <v>1</v>
      </c>
      <c r="H126" s="13">
        <v>4</v>
      </c>
      <c r="I126" s="1" t="s">
        <v>688</v>
      </c>
      <c r="J126" s="1" t="s">
        <v>799</v>
      </c>
      <c r="K126" s="1" t="s">
        <v>138</v>
      </c>
    </row>
    <row r="127" spans="1:11" x14ac:dyDescent="0.25">
      <c r="A127" s="11" t="s">
        <v>410</v>
      </c>
      <c r="B127" s="1" t="s">
        <v>77</v>
      </c>
      <c r="C127" s="13" t="s">
        <v>892</v>
      </c>
      <c r="D127" s="13" t="s">
        <v>996</v>
      </c>
      <c r="E127" s="1" t="s">
        <v>987</v>
      </c>
      <c r="F127" s="12">
        <v>1</v>
      </c>
      <c r="G127" s="13">
        <v>1</v>
      </c>
      <c r="H127" s="13">
        <v>4</v>
      </c>
      <c r="I127" s="1" t="s">
        <v>688</v>
      </c>
      <c r="J127" s="1" t="s">
        <v>800</v>
      </c>
      <c r="K127" s="1" t="s">
        <v>139</v>
      </c>
    </row>
    <row r="128" spans="1:11" x14ac:dyDescent="0.25">
      <c r="A128" s="11" t="s">
        <v>411</v>
      </c>
      <c r="B128" s="1" t="s">
        <v>77</v>
      </c>
      <c r="C128" s="13" t="s">
        <v>893</v>
      </c>
      <c r="D128" s="13" t="s">
        <v>996</v>
      </c>
      <c r="E128" s="1" t="s">
        <v>895</v>
      </c>
      <c r="F128" s="12">
        <v>1</v>
      </c>
      <c r="G128" s="13">
        <v>2</v>
      </c>
      <c r="H128" s="13">
        <v>7</v>
      </c>
      <c r="I128" s="1" t="s">
        <v>688</v>
      </c>
      <c r="J128" s="1" t="s">
        <v>801</v>
      </c>
      <c r="K128" s="1" t="s">
        <v>140</v>
      </c>
    </row>
    <row r="129" spans="1:11" x14ac:dyDescent="0.25">
      <c r="A129" s="11" t="s">
        <v>412</v>
      </c>
      <c r="B129" s="1" t="s">
        <v>77</v>
      </c>
      <c r="C129" s="13" t="s">
        <v>894</v>
      </c>
      <c r="D129" s="13" t="s">
        <v>996</v>
      </c>
      <c r="E129" s="1" t="s">
        <v>987</v>
      </c>
      <c r="F129" s="12">
        <v>1</v>
      </c>
      <c r="G129" s="13">
        <v>1</v>
      </c>
      <c r="H129" s="13">
        <v>4</v>
      </c>
      <c r="I129" s="1" t="s">
        <v>688</v>
      </c>
      <c r="J129" s="1" t="s">
        <v>802</v>
      </c>
      <c r="K129" s="1" t="s">
        <v>141</v>
      </c>
    </row>
    <row r="130" spans="1:11" x14ac:dyDescent="0.25">
      <c r="A130" s="11" t="s">
        <v>413</v>
      </c>
      <c r="B130" s="1" t="s">
        <v>142</v>
      </c>
      <c r="C130" s="13" t="s">
        <v>11</v>
      </c>
      <c r="D130" s="13" t="s">
        <v>990</v>
      </c>
      <c r="E130" s="1" t="s">
        <v>987</v>
      </c>
      <c r="F130" s="12">
        <v>1</v>
      </c>
      <c r="G130" s="13">
        <v>1</v>
      </c>
      <c r="H130" s="13">
        <v>4</v>
      </c>
      <c r="I130" s="1" t="s">
        <v>718</v>
      </c>
      <c r="J130" s="1" t="s">
        <v>577</v>
      </c>
      <c r="K130" s="1" t="s">
        <v>143</v>
      </c>
    </row>
    <row r="131" spans="1:11" x14ac:dyDescent="0.25">
      <c r="A131" s="11" t="s">
        <v>414</v>
      </c>
      <c r="B131" s="1" t="s">
        <v>142</v>
      </c>
      <c r="C131" s="13" t="s">
        <v>13</v>
      </c>
      <c r="D131" s="13" t="s">
        <v>990</v>
      </c>
      <c r="E131" s="1" t="s">
        <v>987</v>
      </c>
      <c r="F131" s="12">
        <v>1</v>
      </c>
      <c r="G131" s="13">
        <v>1</v>
      </c>
      <c r="H131" s="13">
        <v>4</v>
      </c>
      <c r="I131" s="1" t="s">
        <v>718</v>
      </c>
      <c r="J131" s="1" t="s">
        <v>578</v>
      </c>
      <c r="K131" s="1" t="s">
        <v>144</v>
      </c>
    </row>
    <row r="132" spans="1:11" x14ac:dyDescent="0.25">
      <c r="A132" s="11" t="s">
        <v>415</v>
      </c>
      <c r="B132" s="1" t="s">
        <v>142</v>
      </c>
      <c r="C132" s="13" t="s">
        <v>14</v>
      </c>
      <c r="D132" s="13" t="s">
        <v>990</v>
      </c>
      <c r="E132" s="1" t="s">
        <v>987</v>
      </c>
      <c r="F132" s="12">
        <v>1</v>
      </c>
      <c r="G132" s="13">
        <v>1</v>
      </c>
      <c r="H132" s="13">
        <v>4</v>
      </c>
      <c r="I132" s="1" t="s">
        <v>718</v>
      </c>
      <c r="J132" s="1" t="s">
        <v>579</v>
      </c>
      <c r="K132" s="1" t="s">
        <v>145</v>
      </c>
    </row>
    <row r="133" spans="1:11" x14ac:dyDescent="0.25">
      <c r="A133" s="11" t="s">
        <v>416</v>
      </c>
      <c r="B133" s="1" t="s">
        <v>142</v>
      </c>
      <c r="C133" s="13" t="s">
        <v>15</v>
      </c>
      <c r="D133" s="13" t="s">
        <v>990</v>
      </c>
      <c r="E133" s="1" t="s">
        <v>987</v>
      </c>
      <c r="F133" s="12">
        <v>1</v>
      </c>
      <c r="G133" s="13">
        <v>1</v>
      </c>
      <c r="H133" s="13">
        <v>4</v>
      </c>
      <c r="I133" s="1" t="s">
        <v>718</v>
      </c>
      <c r="J133" s="1" t="s">
        <v>580</v>
      </c>
      <c r="K133" s="1" t="s">
        <v>146</v>
      </c>
    </row>
    <row r="134" spans="1:11" x14ac:dyDescent="0.25">
      <c r="A134" s="11" t="s">
        <v>417</v>
      </c>
      <c r="B134" s="1" t="s">
        <v>142</v>
      </c>
      <c r="C134" s="13" t="s">
        <v>64</v>
      </c>
      <c r="D134" s="13" t="s">
        <v>990</v>
      </c>
      <c r="E134" s="1" t="s">
        <v>987</v>
      </c>
      <c r="F134" s="12">
        <v>1</v>
      </c>
      <c r="G134" s="13">
        <v>1</v>
      </c>
      <c r="H134" s="13">
        <v>4</v>
      </c>
      <c r="I134" s="1" t="s">
        <v>718</v>
      </c>
      <c r="J134" s="1" t="s">
        <v>581</v>
      </c>
      <c r="K134" s="1" t="s">
        <v>147</v>
      </c>
    </row>
    <row r="135" spans="1:11" x14ac:dyDescent="0.25">
      <c r="A135" s="11" t="s">
        <v>418</v>
      </c>
      <c r="B135" s="1" t="s">
        <v>142</v>
      </c>
      <c r="C135" s="13" t="s">
        <v>68</v>
      </c>
      <c r="D135" s="13" t="s">
        <v>990</v>
      </c>
      <c r="E135" s="1" t="s">
        <v>987</v>
      </c>
      <c r="F135" s="12">
        <v>1</v>
      </c>
      <c r="G135" s="13">
        <v>1</v>
      </c>
      <c r="H135" s="13">
        <v>4</v>
      </c>
      <c r="I135" s="1" t="s">
        <v>718</v>
      </c>
      <c r="J135" s="1" t="s">
        <v>582</v>
      </c>
      <c r="K135" s="1" t="s">
        <v>148</v>
      </c>
    </row>
    <row r="136" spans="1:11" x14ac:dyDescent="0.25">
      <c r="A136" s="11" t="s">
        <v>419</v>
      </c>
      <c r="B136" s="1" t="s">
        <v>142</v>
      </c>
      <c r="C136" s="13" t="s">
        <v>73</v>
      </c>
      <c r="D136" s="13" t="s">
        <v>990</v>
      </c>
      <c r="E136" s="1" t="s">
        <v>895</v>
      </c>
      <c r="F136" s="12">
        <v>1</v>
      </c>
      <c r="G136" s="13">
        <v>2</v>
      </c>
      <c r="H136" s="13">
        <v>7</v>
      </c>
      <c r="I136" s="1" t="s">
        <v>718</v>
      </c>
      <c r="J136" s="1" t="s">
        <v>583</v>
      </c>
      <c r="K136" s="1" t="s">
        <v>149</v>
      </c>
    </row>
    <row r="137" spans="1:11" x14ac:dyDescent="0.25">
      <c r="A137" s="11" t="s">
        <v>420</v>
      </c>
      <c r="B137" s="1" t="s">
        <v>142</v>
      </c>
      <c r="C137" s="13" t="s">
        <v>10</v>
      </c>
      <c r="D137" s="13" t="s">
        <v>990</v>
      </c>
      <c r="E137" s="1" t="s">
        <v>987</v>
      </c>
      <c r="F137" s="12">
        <v>1</v>
      </c>
      <c r="G137" s="13">
        <v>1</v>
      </c>
      <c r="H137" s="13">
        <v>4</v>
      </c>
      <c r="I137" s="1" t="s">
        <v>718</v>
      </c>
      <c r="J137" s="1" t="s">
        <v>584</v>
      </c>
      <c r="K137" s="1" t="s">
        <v>150</v>
      </c>
    </row>
    <row r="138" spans="1:11" x14ac:dyDescent="0.25">
      <c r="A138" s="11" t="s">
        <v>421</v>
      </c>
      <c r="B138" s="1" t="s">
        <v>2</v>
      </c>
      <c r="C138" s="13" t="s">
        <v>11</v>
      </c>
      <c r="D138" s="13" t="s">
        <v>990</v>
      </c>
      <c r="E138" s="1" t="s">
        <v>987</v>
      </c>
      <c r="F138" s="12">
        <v>1</v>
      </c>
      <c r="G138" s="13">
        <v>1</v>
      </c>
      <c r="H138" s="13">
        <v>4</v>
      </c>
      <c r="I138" s="1" t="s">
        <v>718</v>
      </c>
      <c r="J138" s="1" t="s">
        <v>585</v>
      </c>
      <c r="K138" s="1" t="s">
        <v>151</v>
      </c>
    </row>
    <row r="139" spans="1:11" x14ac:dyDescent="0.25">
      <c r="A139" s="11" t="s">
        <v>422</v>
      </c>
      <c r="B139" s="1" t="s">
        <v>2</v>
      </c>
      <c r="C139" s="13" t="s">
        <v>13</v>
      </c>
      <c r="D139" s="13" t="s">
        <v>990</v>
      </c>
      <c r="E139" s="1" t="s">
        <v>987</v>
      </c>
      <c r="F139" s="12">
        <v>1</v>
      </c>
      <c r="G139" s="13">
        <v>1</v>
      </c>
      <c r="H139" s="13">
        <v>4</v>
      </c>
      <c r="I139" s="1" t="s">
        <v>718</v>
      </c>
      <c r="J139" s="1" t="s">
        <v>586</v>
      </c>
      <c r="K139" s="1" t="s">
        <v>152</v>
      </c>
    </row>
    <row r="140" spans="1:11" x14ac:dyDescent="0.25">
      <c r="A140" s="11" t="s">
        <v>423</v>
      </c>
      <c r="B140" s="1" t="s">
        <v>2</v>
      </c>
      <c r="C140" s="13" t="s">
        <v>14</v>
      </c>
      <c r="D140" s="13" t="s">
        <v>990</v>
      </c>
      <c r="E140" s="1" t="s">
        <v>987</v>
      </c>
      <c r="F140" s="12">
        <v>1</v>
      </c>
      <c r="G140" s="13">
        <v>1</v>
      </c>
      <c r="H140" s="13">
        <v>4</v>
      </c>
      <c r="I140" s="1" t="s">
        <v>718</v>
      </c>
      <c r="J140" s="1" t="s">
        <v>587</v>
      </c>
      <c r="K140" s="1" t="s">
        <v>153</v>
      </c>
    </row>
    <row r="141" spans="1:11" x14ac:dyDescent="0.25">
      <c r="A141" s="11" t="s">
        <v>424</v>
      </c>
      <c r="B141" s="1" t="s">
        <v>2</v>
      </c>
      <c r="C141" s="13" t="s">
        <v>15</v>
      </c>
      <c r="D141" s="13" t="s">
        <v>990</v>
      </c>
      <c r="E141" s="1" t="s">
        <v>987</v>
      </c>
      <c r="F141" s="12">
        <v>1</v>
      </c>
      <c r="G141" s="13">
        <v>1</v>
      </c>
      <c r="H141" s="13">
        <v>4</v>
      </c>
      <c r="I141" s="1" t="s">
        <v>718</v>
      </c>
      <c r="J141" s="1" t="s">
        <v>588</v>
      </c>
      <c r="K141" s="1" t="s">
        <v>154</v>
      </c>
    </row>
    <row r="142" spans="1:11" x14ac:dyDescent="0.25">
      <c r="A142" s="11" t="s">
        <v>425</v>
      </c>
      <c r="B142" s="1" t="s">
        <v>2</v>
      </c>
      <c r="C142" s="13" t="s">
        <v>64</v>
      </c>
      <c r="D142" s="13" t="s">
        <v>990</v>
      </c>
      <c r="E142" s="1" t="s">
        <v>987</v>
      </c>
      <c r="F142" s="12">
        <v>1</v>
      </c>
      <c r="G142" s="13">
        <v>1</v>
      </c>
      <c r="H142" s="13">
        <v>4</v>
      </c>
      <c r="I142" s="1" t="s">
        <v>718</v>
      </c>
      <c r="J142" s="1" t="s">
        <v>589</v>
      </c>
      <c r="K142" s="1" t="s">
        <v>155</v>
      </c>
    </row>
    <row r="143" spans="1:11" x14ac:dyDescent="0.25">
      <c r="A143" s="11" t="s">
        <v>426</v>
      </c>
      <c r="B143" s="1" t="s">
        <v>2</v>
      </c>
      <c r="C143" s="13" t="s">
        <v>68</v>
      </c>
      <c r="D143" s="13" t="s">
        <v>990</v>
      </c>
      <c r="E143" s="1" t="s">
        <v>987</v>
      </c>
      <c r="F143" s="12">
        <v>1</v>
      </c>
      <c r="G143" s="13">
        <v>1</v>
      </c>
      <c r="H143" s="13">
        <v>4</v>
      </c>
      <c r="I143" s="1" t="s">
        <v>718</v>
      </c>
      <c r="J143" s="1" t="s">
        <v>590</v>
      </c>
      <c r="K143" s="1" t="s">
        <v>156</v>
      </c>
    </row>
    <row r="144" spans="1:11" x14ac:dyDescent="0.25">
      <c r="A144" s="11" t="s">
        <v>427</v>
      </c>
      <c r="B144" s="1" t="s">
        <v>2</v>
      </c>
      <c r="C144" s="13" t="s">
        <v>73</v>
      </c>
      <c r="D144" s="13" t="s">
        <v>990</v>
      </c>
      <c r="E144" s="1" t="s">
        <v>895</v>
      </c>
      <c r="F144" s="12">
        <v>1</v>
      </c>
      <c r="G144" s="13">
        <v>2</v>
      </c>
      <c r="H144" s="13">
        <v>7</v>
      </c>
      <c r="I144" s="1" t="s">
        <v>718</v>
      </c>
      <c r="J144" s="1" t="s">
        <v>591</v>
      </c>
      <c r="K144" s="1" t="s">
        <v>157</v>
      </c>
    </row>
    <row r="145" spans="1:11" x14ac:dyDescent="0.25">
      <c r="A145" s="11" t="s">
        <v>428</v>
      </c>
      <c r="B145" s="1" t="s">
        <v>2</v>
      </c>
      <c r="C145" s="13" t="s">
        <v>10</v>
      </c>
      <c r="D145" s="13" t="s">
        <v>990</v>
      </c>
      <c r="E145" s="1" t="s">
        <v>987</v>
      </c>
      <c r="F145" s="12">
        <v>1</v>
      </c>
      <c r="G145" s="13">
        <v>1</v>
      </c>
      <c r="H145" s="13">
        <v>4</v>
      </c>
      <c r="I145" s="1" t="s">
        <v>718</v>
      </c>
      <c r="J145" s="1" t="s">
        <v>592</v>
      </c>
      <c r="K145" s="1" t="s">
        <v>158</v>
      </c>
    </row>
    <row r="146" spans="1:11" x14ac:dyDescent="0.25">
      <c r="A146" s="11" t="s">
        <v>429</v>
      </c>
      <c r="B146" s="1" t="s">
        <v>159</v>
      </c>
      <c r="C146" s="13" t="s">
        <v>11</v>
      </c>
      <c r="D146" s="13" t="s">
        <v>990</v>
      </c>
      <c r="E146" s="1" t="s">
        <v>987</v>
      </c>
      <c r="F146" s="12">
        <v>1</v>
      </c>
      <c r="G146" s="13">
        <v>1</v>
      </c>
      <c r="H146" s="13">
        <v>4</v>
      </c>
      <c r="I146" s="1" t="s">
        <v>718</v>
      </c>
      <c r="J146" s="1" t="s">
        <v>593</v>
      </c>
      <c r="K146" s="1" t="s">
        <v>160</v>
      </c>
    </row>
    <row r="147" spans="1:11" x14ac:dyDescent="0.25">
      <c r="A147" s="11" t="s">
        <v>430</v>
      </c>
      <c r="B147" s="1" t="s">
        <v>159</v>
      </c>
      <c r="C147" s="13" t="s">
        <v>13</v>
      </c>
      <c r="D147" s="13" t="s">
        <v>990</v>
      </c>
      <c r="E147" s="1" t="s">
        <v>987</v>
      </c>
      <c r="F147" s="12">
        <v>1</v>
      </c>
      <c r="G147" s="13">
        <v>1</v>
      </c>
      <c r="H147" s="13">
        <v>4</v>
      </c>
      <c r="I147" s="1" t="s">
        <v>718</v>
      </c>
      <c r="J147" s="1" t="s">
        <v>594</v>
      </c>
      <c r="K147" s="1" t="s">
        <v>161</v>
      </c>
    </row>
    <row r="148" spans="1:11" x14ac:dyDescent="0.25">
      <c r="A148" s="11" t="s">
        <v>431</v>
      </c>
      <c r="B148" s="1" t="s">
        <v>159</v>
      </c>
      <c r="C148" s="13" t="s">
        <v>14</v>
      </c>
      <c r="D148" s="13" t="s">
        <v>990</v>
      </c>
      <c r="E148" s="1" t="s">
        <v>987</v>
      </c>
      <c r="F148" s="12">
        <v>1</v>
      </c>
      <c r="G148" s="13">
        <v>1</v>
      </c>
      <c r="H148" s="13">
        <v>4</v>
      </c>
      <c r="I148" s="1" t="s">
        <v>718</v>
      </c>
      <c r="J148" s="1" t="s">
        <v>595</v>
      </c>
      <c r="K148" s="1" t="s">
        <v>948</v>
      </c>
    </row>
    <row r="149" spans="1:11" x14ac:dyDescent="0.25">
      <c r="A149" s="11" t="s">
        <v>432</v>
      </c>
      <c r="B149" s="1" t="s">
        <v>159</v>
      </c>
      <c r="C149" s="13" t="s">
        <v>15</v>
      </c>
      <c r="D149" s="13" t="s">
        <v>990</v>
      </c>
      <c r="E149" s="1" t="s">
        <v>987</v>
      </c>
      <c r="F149" s="12">
        <v>1</v>
      </c>
      <c r="G149" s="13">
        <v>1</v>
      </c>
      <c r="H149" s="13">
        <v>4</v>
      </c>
      <c r="I149" s="1" t="s">
        <v>718</v>
      </c>
      <c r="J149" s="1" t="s">
        <v>596</v>
      </c>
      <c r="K149" s="1" t="s">
        <v>162</v>
      </c>
    </row>
    <row r="150" spans="1:11" x14ac:dyDescent="0.25">
      <c r="A150" s="11" t="s">
        <v>433</v>
      </c>
      <c r="B150" s="1" t="s">
        <v>159</v>
      </c>
      <c r="C150" s="13" t="s">
        <v>64</v>
      </c>
      <c r="D150" s="13" t="s">
        <v>990</v>
      </c>
      <c r="E150" s="1" t="s">
        <v>987</v>
      </c>
      <c r="F150" s="12">
        <v>1</v>
      </c>
      <c r="G150" s="13">
        <v>1</v>
      </c>
      <c r="H150" s="13">
        <v>4</v>
      </c>
      <c r="I150" s="1" t="s">
        <v>718</v>
      </c>
      <c r="J150" s="1" t="s">
        <v>597</v>
      </c>
      <c r="K150" s="1" t="s">
        <v>949</v>
      </c>
    </row>
    <row r="151" spans="1:11" x14ac:dyDescent="0.25">
      <c r="A151" s="11" t="s">
        <v>434</v>
      </c>
      <c r="B151" s="1" t="s">
        <v>159</v>
      </c>
      <c r="C151" s="13" t="s">
        <v>68</v>
      </c>
      <c r="D151" s="13" t="s">
        <v>990</v>
      </c>
      <c r="E151" s="1" t="s">
        <v>987</v>
      </c>
      <c r="F151" s="12">
        <v>1</v>
      </c>
      <c r="G151" s="13">
        <v>1</v>
      </c>
      <c r="H151" s="13">
        <v>4</v>
      </c>
      <c r="I151" s="1" t="s">
        <v>718</v>
      </c>
      <c r="J151" s="1" t="s">
        <v>598</v>
      </c>
      <c r="K151" s="1" t="s">
        <v>163</v>
      </c>
    </row>
    <row r="152" spans="1:11" x14ac:dyDescent="0.25">
      <c r="A152" s="11" t="s">
        <v>435</v>
      </c>
      <c r="B152" s="1" t="s">
        <v>159</v>
      </c>
      <c r="C152" s="13" t="s">
        <v>73</v>
      </c>
      <c r="D152" s="13" t="s">
        <v>990</v>
      </c>
      <c r="E152" s="1" t="s">
        <v>895</v>
      </c>
      <c r="F152" s="12">
        <v>1</v>
      </c>
      <c r="G152" s="13">
        <v>2</v>
      </c>
      <c r="H152" s="13">
        <v>7</v>
      </c>
      <c r="I152" s="1" t="s">
        <v>718</v>
      </c>
      <c r="J152" s="1" t="s">
        <v>599</v>
      </c>
      <c r="K152" s="1" t="s">
        <v>950</v>
      </c>
    </row>
    <row r="153" spans="1:11" x14ac:dyDescent="0.25">
      <c r="A153" s="11" t="s">
        <v>436</v>
      </c>
      <c r="B153" s="1" t="s">
        <v>159</v>
      </c>
      <c r="C153" s="13" t="s">
        <v>10</v>
      </c>
      <c r="D153" s="13" t="s">
        <v>990</v>
      </c>
      <c r="E153" s="1" t="s">
        <v>987</v>
      </c>
      <c r="F153" s="12">
        <v>1</v>
      </c>
      <c r="G153" s="13">
        <v>1</v>
      </c>
      <c r="H153" s="13">
        <v>4</v>
      </c>
      <c r="I153" s="1" t="s">
        <v>718</v>
      </c>
      <c r="J153" s="1" t="s">
        <v>600</v>
      </c>
      <c r="K153" s="1" t="s">
        <v>164</v>
      </c>
    </row>
    <row r="154" spans="1:11" x14ac:dyDescent="0.25">
      <c r="A154" s="11" t="s">
        <v>437</v>
      </c>
      <c r="B154" s="1" t="s">
        <v>165</v>
      </c>
      <c r="C154" s="13" t="s">
        <v>11</v>
      </c>
      <c r="D154" s="13" t="s">
        <v>990</v>
      </c>
      <c r="E154" s="1" t="s">
        <v>987</v>
      </c>
      <c r="F154" s="12">
        <v>1</v>
      </c>
      <c r="G154" s="13">
        <v>1</v>
      </c>
      <c r="H154" s="13">
        <v>4</v>
      </c>
      <c r="I154" s="1" t="s">
        <v>718</v>
      </c>
      <c r="J154" s="1" t="s">
        <v>601</v>
      </c>
      <c r="K154" s="1" t="s">
        <v>166</v>
      </c>
    </row>
    <row r="155" spans="1:11" x14ac:dyDescent="0.25">
      <c r="A155" s="11" t="s">
        <v>438</v>
      </c>
      <c r="B155" s="1" t="s">
        <v>165</v>
      </c>
      <c r="C155" s="13" t="s">
        <v>13</v>
      </c>
      <c r="D155" s="13" t="s">
        <v>990</v>
      </c>
      <c r="E155" s="1" t="s">
        <v>987</v>
      </c>
      <c r="F155" s="12">
        <v>1</v>
      </c>
      <c r="G155" s="13">
        <v>1</v>
      </c>
      <c r="H155" s="13">
        <v>4</v>
      </c>
      <c r="I155" s="1" t="s">
        <v>718</v>
      </c>
      <c r="J155" s="1" t="s">
        <v>602</v>
      </c>
      <c r="K155" s="1" t="s">
        <v>167</v>
      </c>
    </row>
    <row r="156" spans="1:11" x14ac:dyDescent="0.25">
      <c r="A156" s="11" t="s">
        <v>439</v>
      </c>
      <c r="B156" s="1" t="s">
        <v>165</v>
      </c>
      <c r="C156" s="13" t="s">
        <v>14</v>
      </c>
      <c r="D156" s="13" t="s">
        <v>990</v>
      </c>
      <c r="E156" s="1" t="s">
        <v>987</v>
      </c>
      <c r="F156" s="12">
        <v>1</v>
      </c>
      <c r="G156" s="13">
        <v>1</v>
      </c>
      <c r="H156" s="13">
        <v>4</v>
      </c>
      <c r="I156" s="1" t="s">
        <v>718</v>
      </c>
      <c r="J156" s="1" t="s">
        <v>603</v>
      </c>
      <c r="K156" s="1" t="s">
        <v>168</v>
      </c>
    </row>
    <row r="157" spans="1:11" x14ac:dyDescent="0.25">
      <c r="A157" s="11" t="s">
        <v>440</v>
      </c>
      <c r="B157" s="1" t="s">
        <v>165</v>
      </c>
      <c r="C157" s="13" t="s">
        <v>15</v>
      </c>
      <c r="D157" s="13" t="s">
        <v>990</v>
      </c>
      <c r="E157" s="1" t="s">
        <v>987</v>
      </c>
      <c r="F157" s="12">
        <v>1</v>
      </c>
      <c r="G157" s="13">
        <v>1</v>
      </c>
      <c r="H157" s="13">
        <v>4</v>
      </c>
      <c r="I157" s="1" t="s">
        <v>718</v>
      </c>
      <c r="J157" s="1" t="s">
        <v>604</v>
      </c>
      <c r="K157" s="1" t="s">
        <v>169</v>
      </c>
    </row>
    <row r="158" spans="1:11" x14ac:dyDescent="0.25">
      <c r="A158" s="11" t="s">
        <v>441</v>
      </c>
      <c r="B158" s="1" t="s">
        <v>165</v>
      </c>
      <c r="C158" s="13" t="s">
        <v>64</v>
      </c>
      <c r="D158" s="13" t="s">
        <v>990</v>
      </c>
      <c r="E158" s="1" t="s">
        <v>987</v>
      </c>
      <c r="F158" s="12">
        <v>1</v>
      </c>
      <c r="G158" s="13">
        <v>1</v>
      </c>
      <c r="H158" s="13">
        <v>4</v>
      </c>
      <c r="I158" s="1" t="s">
        <v>718</v>
      </c>
      <c r="J158" s="1" t="s">
        <v>605</v>
      </c>
      <c r="K158" s="1" t="s">
        <v>170</v>
      </c>
    </row>
    <row r="159" spans="1:11" x14ac:dyDescent="0.25">
      <c r="A159" s="11" t="s">
        <v>442</v>
      </c>
      <c r="B159" s="1" t="s">
        <v>165</v>
      </c>
      <c r="C159" s="13" t="s">
        <v>68</v>
      </c>
      <c r="D159" s="13" t="s">
        <v>990</v>
      </c>
      <c r="E159" s="1" t="s">
        <v>987</v>
      </c>
      <c r="F159" s="12">
        <v>1</v>
      </c>
      <c r="G159" s="13">
        <v>1</v>
      </c>
      <c r="H159" s="13">
        <v>4</v>
      </c>
      <c r="I159" s="1" t="s">
        <v>718</v>
      </c>
      <c r="J159" s="1" t="s">
        <v>606</v>
      </c>
      <c r="K159" s="1" t="s">
        <v>171</v>
      </c>
    </row>
    <row r="160" spans="1:11" x14ac:dyDescent="0.25">
      <c r="A160" s="11" t="s">
        <v>443</v>
      </c>
      <c r="B160" s="1" t="s">
        <v>165</v>
      </c>
      <c r="C160" s="13" t="s">
        <v>73</v>
      </c>
      <c r="D160" s="13" t="s">
        <v>990</v>
      </c>
      <c r="E160" s="1" t="s">
        <v>895</v>
      </c>
      <c r="F160" s="12">
        <v>1</v>
      </c>
      <c r="G160" s="13">
        <v>2</v>
      </c>
      <c r="H160" s="13">
        <v>7</v>
      </c>
      <c r="I160" s="1" t="s">
        <v>718</v>
      </c>
      <c r="J160" s="1" t="s">
        <v>607</v>
      </c>
      <c r="K160" s="1" t="s">
        <v>172</v>
      </c>
    </row>
    <row r="161" spans="1:11" x14ac:dyDescent="0.25">
      <c r="A161" s="11" t="s">
        <v>444</v>
      </c>
      <c r="B161" s="1" t="s">
        <v>165</v>
      </c>
      <c r="C161" s="13" t="s">
        <v>10</v>
      </c>
      <c r="D161" s="13" t="s">
        <v>990</v>
      </c>
      <c r="E161" s="1" t="s">
        <v>987</v>
      </c>
      <c r="F161" s="12">
        <v>1</v>
      </c>
      <c r="G161" s="13">
        <v>1</v>
      </c>
      <c r="H161" s="13">
        <v>4</v>
      </c>
      <c r="I161" s="1" t="s">
        <v>718</v>
      </c>
      <c r="J161" s="1" t="s">
        <v>608</v>
      </c>
      <c r="K161" s="1" t="s">
        <v>173</v>
      </c>
    </row>
    <row r="162" spans="1:11" x14ac:dyDescent="0.25">
      <c r="A162" s="11" t="s">
        <v>445</v>
      </c>
      <c r="B162" s="1" t="s">
        <v>174</v>
      </c>
      <c r="C162" s="13" t="s">
        <v>11</v>
      </c>
      <c r="D162" s="13" t="s">
        <v>1000</v>
      </c>
      <c r="E162" s="1" t="s">
        <v>987</v>
      </c>
      <c r="F162" s="12">
        <v>1</v>
      </c>
      <c r="G162" s="13">
        <v>1</v>
      </c>
      <c r="H162" s="13">
        <v>4</v>
      </c>
      <c r="I162" s="1" t="s">
        <v>803</v>
      </c>
      <c r="J162" s="1" t="s">
        <v>609</v>
      </c>
      <c r="K162" s="1" t="s">
        <v>175</v>
      </c>
    </row>
    <row r="163" spans="1:11" x14ac:dyDescent="0.25">
      <c r="A163" s="11" t="s">
        <v>446</v>
      </c>
      <c r="B163" s="1" t="s">
        <v>174</v>
      </c>
      <c r="C163" s="13" t="s">
        <v>13</v>
      </c>
      <c r="D163" s="13" t="s">
        <v>1000</v>
      </c>
      <c r="E163" s="1" t="s">
        <v>987</v>
      </c>
      <c r="F163" s="12">
        <v>1</v>
      </c>
      <c r="G163" s="13">
        <v>1</v>
      </c>
      <c r="H163" s="13">
        <v>4</v>
      </c>
      <c r="I163" s="1" t="s">
        <v>803</v>
      </c>
      <c r="J163" s="1" t="s">
        <v>610</v>
      </c>
      <c r="K163" s="1" t="s">
        <v>176</v>
      </c>
    </row>
    <row r="164" spans="1:11" x14ac:dyDescent="0.25">
      <c r="A164" s="11" t="s">
        <v>447</v>
      </c>
      <c r="B164" s="1" t="s">
        <v>174</v>
      </c>
      <c r="C164" s="13" t="s">
        <v>14</v>
      </c>
      <c r="D164" s="13" t="s">
        <v>1000</v>
      </c>
      <c r="E164" s="1" t="s">
        <v>987</v>
      </c>
      <c r="F164" s="12">
        <v>1</v>
      </c>
      <c r="G164" s="13">
        <v>1</v>
      </c>
      <c r="H164" s="13">
        <v>4</v>
      </c>
      <c r="I164" s="1" t="s">
        <v>803</v>
      </c>
      <c r="J164" s="1" t="s">
        <v>611</v>
      </c>
      <c r="K164" s="1" t="s">
        <v>177</v>
      </c>
    </row>
    <row r="165" spans="1:11" x14ac:dyDescent="0.25">
      <c r="A165" s="11" t="s">
        <v>448</v>
      </c>
      <c r="B165" s="1" t="s">
        <v>174</v>
      </c>
      <c r="C165" s="13" t="s">
        <v>15</v>
      </c>
      <c r="D165" s="13" t="s">
        <v>1000</v>
      </c>
      <c r="E165" s="1" t="s">
        <v>987</v>
      </c>
      <c r="F165" s="12">
        <v>1</v>
      </c>
      <c r="G165" s="13">
        <v>1</v>
      </c>
      <c r="H165" s="13">
        <v>4</v>
      </c>
      <c r="I165" s="1" t="s">
        <v>803</v>
      </c>
      <c r="J165" s="1" t="s">
        <v>612</v>
      </c>
      <c r="K165" s="1" t="s">
        <v>178</v>
      </c>
    </row>
    <row r="166" spans="1:11" x14ac:dyDescent="0.25">
      <c r="A166" s="11" t="s">
        <v>449</v>
      </c>
      <c r="B166" s="1" t="s">
        <v>174</v>
      </c>
      <c r="C166" s="13" t="s">
        <v>64</v>
      </c>
      <c r="D166" s="13" t="s">
        <v>1000</v>
      </c>
      <c r="E166" s="1" t="s">
        <v>987</v>
      </c>
      <c r="F166" s="12">
        <v>1</v>
      </c>
      <c r="G166" s="13">
        <v>1</v>
      </c>
      <c r="H166" s="13">
        <v>4</v>
      </c>
      <c r="I166" s="1" t="s">
        <v>803</v>
      </c>
      <c r="J166" s="1" t="s">
        <v>613</v>
      </c>
      <c r="K166" s="1" t="s">
        <v>179</v>
      </c>
    </row>
    <row r="167" spans="1:11" x14ac:dyDescent="0.25">
      <c r="A167" s="11" t="s">
        <v>450</v>
      </c>
      <c r="B167" s="1" t="s">
        <v>174</v>
      </c>
      <c r="C167" s="13" t="s">
        <v>68</v>
      </c>
      <c r="D167" s="13" t="s">
        <v>1000</v>
      </c>
      <c r="E167" s="1" t="s">
        <v>987</v>
      </c>
      <c r="F167" s="12">
        <v>1</v>
      </c>
      <c r="G167" s="13">
        <v>1</v>
      </c>
      <c r="H167" s="13">
        <v>4</v>
      </c>
      <c r="I167" s="1" t="s">
        <v>803</v>
      </c>
      <c r="J167" s="1" t="s">
        <v>614</v>
      </c>
      <c r="K167" s="1" t="s">
        <v>180</v>
      </c>
    </row>
    <row r="168" spans="1:11" x14ac:dyDescent="0.25">
      <c r="A168" s="11" t="s">
        <v>451</v>
      </c>
      <c r="B168" s="1" t="s">
        <v>174</v>
      </c>
      <c r="C168" s="13" t="s">
        <v>73</v>
      </c>
      <c r="D168" s="13" t="s">
        <v>1000</v>
      </c>
      <c r="E168" s="1" t="s">
        <v>895</v>
      </c>
      <c r="F168" s="12">
        <v>1</v>
      </c>
      <c r="G168" s="13">
        <v>2</v>
      </c>
      <c r="H168" s="13">
        <v>7</v>
      </c>
      <c r="I168" s="1" t="s">
        <v>803</v>
      </c>
      <c r="J168" s="1" t="s">
        <v>615</v>
      </c>
      <c r="K168" s="1" t="s">
        <v>181</v>
      </c>
    </row>
    <row r="169" spans="1:11" x14ac:dyDescent="0.25">
      <c r="A169" s="11" t="s">
        <v>452</v>
      </c>
      <c r="B169" s="1" t="s">
        <v>174</v>
      </c>
      <c r="C169" s="13" t="s">
        <v>10</v>
      </c>
      <c r="D169" s="13" t="s">
        <v>1000</v>
      </c>
      <c r="E169" s="1" t="s">
        <v>987</v>
      </c>
      <c r="F169" s="12">
        <v>1</v>
      </c>
      <c r="G169" s="13">
        <v>1</v>
      </c>
      <c r="H169" s="13">
        <v>4</v>
      </c>
      <c r="I169" s="1" t="s">
        <v>803</v>
      </c>
      <c r="J169" s="1" t="s">
        <v>616</v>
      </c>
      <c r="K169" s="1" t="s">
        <v>182</v>
      </c>
    </row>
    <row r="170" spans="1:11" x14ac:dyDescent="0.25">
      <c r="A170" s="11" t="s">
        <v>453</v>
      </c>
      <c r="B170" s="1" t="s">
        <v>183</v>
      </c>
      <c r="C170" s="13" t="s">
        <v>11</v>
      </c>
      <c r="D170" s="13" t="s">
        <v>1000</v>
      </c>
      <c r="E170" s="1" t="s">
        <v>987</v>
      </c>
      <c r="F170" s="12">
        <v>1</v>
      </c>
      <c r="G170" s="13">
        <v>1</v>
      </c>
      <c r="H170" s="13">
        <v>4</v>
      </c>
      <c r="I170" s="1" t="s">
        <v>804</v>
      </c>
      <c r="J170" s="1" t="s">
        <v>617</v>
      </c>
      <c r="K170" s="1" t="s">
        <v>184</v>
      </c>
    </row>
    <row r="171" spans="1:11" x14ac:dyDescent="0.25">
      <c r="A171" s="11" t="s">
        <v>454</v>
      </c>
      <c r="B171" s="1" t="s">
        <v>183</v>
      </c>
      <c r="C171" s="13" t="s">
        <v>13</v>
      </c>
      <c r="D171" s="13" t="s">
        <v>1000</v>
      </c>
      <c r="E171" s="1" t="s">
        <v>987</v>
      </c>
      <c r="F171" s="12">
        <v>1</v>
      </c>
      <c r="G171" s="13">
        <v>1</v>
      </c>
      <c r="H171" s="13">
        <v>4</v>
      </c>
      <c r="I171" s="1" t="s">
        <v>804</v>
      </c>
      <c r="J171" s="1" t="s">
        <v>618</v>
      </c>
      <c r="K171" s="1" t="s">
        <v>185</v>
      </c>
    </row>
    <row r="172" spans="1:11" x14ac:dyDescent="0.25">
      <c r="A172" s="11" t="s">
        <v>455</v>
      </c>
      <c r="B172" s="1" t="s">
        <v>183</v>
      </c>
      <c r="C172" s="13" t="s">
        <v>14</v>
      </c>
      <c r="D172" s="13" t="s">
        <v>1000</v>
      </c>
      <c r="E172" s="1" t="s">
        <v>987</v>
      </c>
      <c r="F172" s="12">
        <v>1</v>
      </c>
      <c r="G172" s="13">
        <v>1</v>
      </c>
      <c r="H172" s="13">
        <v>4</v>
      </c>
      <c r="I172" s="1" t="s">
        <v>804</v>
      </c>
      <c r="J172" s="1" t="s">
        <v>619</v>
      </c>
      <c r="K172" s="1" t="s">
        <v>186</v>
      </c>
    </row>
    <row r="173" spans="1:11" x14ac:dyDescent="0.25">
      <c r="A173" s="11" t="s">
        <v>456</v>
      </c>
      <c r="B173" s="1" t="s">
        <v>183</v>
      </c>
      <c r="C173" s="13" t="s">
        <v>15</v>
      </c>
      <c r="D173" s="13" t="s">
        <v>1000</v>
      </c>
      <c r="E173" s="1" t="s">
        <v>987</v>
      </c>
      <c r="F173" s="12">
        <v>1</v>
      </c>
      <c r="G173" s="13">
        <v>1</v>
      </c>
      <c r="H173" s="13">
        <v>4</v>
      </c>
      <c r="I173" s="1" t="s">
        <v>804</v>
      </c>
      <c r="J173" s="1" t="s">
        <v>620</v>
      </c>
      <c r="K173" s="1" t="s">
        <v>187</v>
      </c>
    </row>
    <row r="174" spans="1:11" x14ac:dyDescent="0.25">
      <c r="A174" s="11" t="s">
        <v>457</v>
      </c>
      <c r="B174" s="1" t="s">
        <v>183</v>
      </c>
      <c r="C174" s="13" t="s">
        <v>64</v>
      </c>
      <c r="D174" s="13" t="s">
        <v>1000</v>
      </c>
      <c r="E174" s="1" t="s">
        <v>987</v>
      </c>
      <c r="F174" s="12">
        <v>1</v>
      </c>
      <c r="G174" s="13">
        <v>1</v>
      </c>
      <c r="H174" s="13">
        <v>4</v>
      </c>
      <c r="I174" s="1" t="s">
        <v>804</v>
      </c>
      <c r="J174" s="1" t="s">
        <v>621</v>
      </c>
      <c r="K174" s="1" t="s">
        <v>188</v>
      </c>
    </row>
    <row r="175" spans="1:11" x14ac:dyDescent="0.25">
      <c r="A175" s="11" t="s">
        <v>458</v>
      </c>
      <c r="B175" s="1" t="s">
        <v>183</v>
      </c>
      <c r="C175" s="13" t="s">
        <v>68</v>
      </c>
      <c r="D175" s="13" t="s">
        <v>1000</v>
      </c>
      <c r="E175" s="1" t="s">
        <v>987</v>
      </c>
      <c r="F175" s="12">
        <v>1</v>
      </c>
      <c r="G175" s="13">
        <v>1</v>
      </c>
      <c r="H175" s="13">
        <v>4</v>
      </c>
      <c r="I175" s="1" t="s">
        <v>804</v>
      </c>
      <c r="J175" s="1" t="s">
        <v>622</v>
      </c>
      <c r="K175" s="1" t="s">
        <v>189</v>
      </c>
    </row>
    <row r="176" spans="1:11" x14ac:dyDescent="0.25">
      <c r="A176" s="11" t="s">
        <v>459</v>
      </c>
      <c r="B176" s="1" t="s">
        <v>183</v>
      </c>
      <c r="C176" s="13" t="s">
        <v>73</v>
      </c>
      <c r="D176" s="13" t="s">
        <v>1000</v>
      </c>
      <c r="E176" s="1" t="s">
        <v>895</v>
      </c>
      <c r="F176" s="12">
        <v>1</v>
      </c>
      <c r="G176" s="13">
        <v>2</v>
      </c>
      <c r="H176" s="13">
        <v>7</v>
      </c>
      <c r="I176" s="1" t="s">
        <v>804</v>
      </c>
      <c r="J176" s="1" t="s">
        <v>623</v>
      </c>
      <c r="K176" s="1" t="s">
        <v>190</v>
      </c>
    </row>
    <row r="177" spans="1:11" x14ac:dyDescent="0.25">
      <c r="A177" s="11" t="s">
        <v>460</v>
      </c>
      <c r="B177" s="1" t="s">
        <v>183</v>
      </c>
      <c r="C177" s="13" t="s">
        <v>10</v>
      </c>
      <c r="D177" s="13" t="s">
        <v>1000</v>
      </c>
      <c r="E177" s="1" t="s">
        <v>987</v>
      </c>
      <c r="F177" s="12">
        <v>1</v>
      </c>
      <c r="G177" s="13">
        <v>1</v>
      </c>
      <c r="H177" s="13">
        <v>4</v>
      </c>
      <c r="I177" s="1" t="s">
        <v>804</v>
      </c>
      <c r="J177" s="1" t="s">
        <v>624</v>
      </c>
      <c r="K177" s="1" t="s">
        <v>191</v>
      </c>
    </row>
    <row r="178" spans="1:11" x14ac:dyDescent="0.25">
      <c r="A178" s="11" t="s">
        <v>461</v>
      </c>
      <c r="B178" s="1" t="s">
        <v>0</v>
      </c>
      <c r="C178" s="13" t="s">
        <v>11</v>
      </c>
      <c r="D178" s="13" t="s">
        <v>1000</v>
      </c>
      <c r="E178" s="1" t="s">
        <v>987</v>
      </c>
      <c r="F178" s="12">
        <v>1</v>
      </c>
      <c r="G178" s="13">
        <v>1</v>
      </c>
      <c r="H178" s="13">
        <v>4</v>
      </c>
      <c r="I178" s="1" t="s">
        <v>805</v>
      </c>
      <c r="J178" s="1" t="s">
        <v>625</v>
      </c>
      <c r="K178" s="1" t="s">
        <v>192</v>
      </c>
    </row>
    <row r="179" spans="1:11" x14ac:dyDescent="0.25">
      <c r="A179" s="11" t="s">
        <v>462</v>
      </c>
      <c r="B179" s="1" t="s">
        <v>0</v>
      </c>
      <c r="C179" s="13" t="s">
        <v>13</v>
      </c>
      <c r="D179" s="13" t="s">
        <v>1000</v>
      </c>
      <c r="E179" s="1" t="s">
        <v>987</v>
      </c>
      <c r="F179" s="12">
        <v>1</v>
      </c>
      <c r="G179" s="13">
        <v>1</v>
      </c>
      <c r="H179" s="13">
        <v>4</v>
      </c>
      <c r="I179" s="1" t="s">
        <v>805</v>
      </c>
      <c r="J179" s="1" t="s">
        <v>626</v>
      </c>
      <c r="K179" s="1" t="s">
        <v>193</v>
      </c>
    </row>
    <row r="180" spans="1:11" x14ac:dyDescent="0.25">
      <c r="A180" s="11" t="s">
        <v>463</v>
      </c>
      <c r="B180" s="1" t="s">
        <v>0</v>
      </c>
      <c r="C180" s="13" t="s">
        <v>14</v>
      </c>
      <c r="D180" s="13" t="s">
        <v>1000</v>
      </c>
      <c r="E180" s="1" t="s">
        <v>987</v>
      </c>
      <c r="F180" s="12">
        <v>1</v>
      </c>
      <c r="G180" s="13">
        <v>1</v>
      </c>
      <c r="H180" s="13">
        <v>4</v>
      </c>
      <c r="I180" s="1" t="s">
        <v>805</v>
      </c>
      <c r="J180" s="1" t="s">
        <v>627</v>
      </c>
      <c r="K180" s="1" t="s">
        <v>194</v>
      </c>
    </row>
    <row r="181" spans="1:11" x14ac:dyDescent="0.25">
      <c r="A181" s="11" t="s">
        <v>464</v>
      </c>
      <c r="B181" s="1" t="s">
        <v>0</v>
      </c>
      <c r="C181" s="13" t="s">
        <v>15</v>
      </c>
      <c r="D181" s="13" t="s">
        <v>1000</v>
      </c>
      <c r="E181" s="1" t="s">
        <v>987</v>
      </c>
      <c r="F181" s="12">
        <v>1</v>
      </c>
      <c r="G181" s="13">
        <v>1</v>
      </c>
      <c r="H181" s="13">
        <v>4</v>
      </c>
      <c r="I181" s="1" t="s">
        <v>805</v>
      </c>
      <c r="J181" s="1" t="s">
        <v>628</v>
      </c>
      <c r="K181" s="1" t="s">
        <v>195</v>
      </c>
    </row>
    <row r="182" spans="1:11" x14ac:dyDescent="0.25">
      <c r="A182" s="11" t="s">
        <v>465</v>
      </c>
      <c r="B182" s="1" t="s">
        <v>0</v>
      </c>
      <c r="C182" s="13" t="s">
        <v>64</v>
      </c>
      <c r="D182" s="13" t="s">
        <v>1000</v>
      </c>
      <c r="E182" s="1" t="s">
        <v>987</v>
      </c>
      <c r="F182" s="12">
        <v>1</v>
      </c>
      <c r="G182" s="13">
        <v>1</v>
      </c>
      <c r="H182" s="13">
        <v>4</v>
      </c>
      <c r="I182" s="1" t="s">
        <v>805</v>
      </c>
      <c r="J182" s="1" t="s">
        <v>629</v>
      </c>
      <c r="K182" s="1" t="s">
        <v>196</v>
      </c>
    </row>
    <row r="183" spans="1:11" x14ac:dyDescent="0.25">
      <c r="A183" s="11" t="s">
        <v>466</v>
      </c>
      <c r="B183" s="1" t="s">
        <v>0</v>
      </c>
      <c r="C183" s="13" t="s">
        <v>68</v>
      </c>
      <c r="D183" s="13" t="s">
        <v>1000</v>
      </c>
      <c r="E183" s="1" t="s">
        <v>987</v>
      </c>
      <c r="F183" s="12">
        <v>1</v>
      </c>
      <c r="G183" s="13">
        <v>1</v>
      </c>
      <c r="H183" s="13">
        <v>4</v>
      </c>
      <c r="I183" s="1" t="s">
        <v>805</v>
      </c>
      <c r="J183" s="1" t="s">
        <v>630</v>
      </c>
      <c r="K183" s="1" t="s">
        <v>197</v>
      </c>
    </row>
    <row r="184" spans="1:11" x14ac:dyDescent="0.25">
      <c r="A184" s="11" t="s">
        <v>467</v>
      </c>
      <c r="B184" s="1" t="s">
        <v>0</v>
      </c>
      <c r="C184" s="13" t="s">
        <v>73</v>
      </c>
      <c r="D184" s="13" t="s">
        <v>1000</v>
      </c>
      <c r="E184" s="1" t="s">
        <v>895</v>
      </c>
      <c r="F184" s="12">
        <v>1</v>
      </c>
      <c r="G184" s="13">
        <v>2</v>
      </c>
      <c r="H184" s="13">
        <v>7</v>
      </c>
      <c r="I184" s="1" t="s">
        <v>805</v>
      </c>
      <c r="J184" s="1" t="s">
        <v>631</v>
      </c>
      <c r="K184" s="1" t="s">
        <v>198</v>
      </c>
    </row>
    <row r="185" spans="1:11" x14ac:dyDescent="0.25">
      <c r="A185" s="11" t="s">
        <v>468</v>
      </c>
      <c r="B185" s="1" t="s">
        <v>0</v>
      </c>
      <c r="C185" s="13" t="s">
        <v>10</v>
      </c>
      <c r="D185" s="13" t="s">
        <v>1000</v>
      </c>
      <c r="E185" s="1" t="s">
        <v>987</v>
      </c>
      <c r="F185" s="12">
        <v>1</v>
      </c>
      <c r="G185" s="13">
        <v>1</v>
      </c>
      <c r="H185" s="13">
        <v>4</v>
      </c>
      <c r="I185" s="1" t="s">
        <v>805</v>
      </c>
      <c r="J185" s="1" t="s">
        <v>632</v>
      </c>
      <c r="K185" s="1" t="s">
        <v>199</v>
      </c>
    </row>
    <row r="186" spans="1:11" x14ac:dyDescent="0.25">
      <c r="A186" s="11" t="s">
        <v>469</v>
      </c>
      <c r="B186" s="1" t="s">
        <v>5</v>
      </c>
      <c r="C186" s="13" t="s">
        <v>11</v>
      </c>
      <c r="D186" s="13" t="s">
        <v>1000</v>
      </c>
      <c r="E186" s="1" t="s">
        <v>987</v>
      </c>
      <c r="F186" s="12">
        <v>1</v>
      </c>
      <c r="G186" s="13">
        <v>1</v>
      </c>
      <c r="H186" s="13">
        <v>4</v>
      </c>
      <c r="I186" s="1" t="s">
        <v>718</v>
      </c>
      <c r="J186" s="1" t="s">
        <v>633</v>
      </c>
      <c r="K186" s="1" t="s">
        <v>200</v>
      </c>
    </row>
    <row r="187" spans="1:11" x14ac:dyDescent="0.25">
      <c r="A187" s="11" t="s">
        <v>470</v>
      </c>
      <c r="B187" s="1" t="s">
        <v>5</v>
      </c>
      <c r="C187" s="13" t="s">
        <v>13</v>
      </c>
      <c r="D187" s="13" t="s">
        <v>1000</v>
      </c>
      <c r="E187" s="1" t="s">
        <v>987</v>
      </c>
      <c r="F187" s="12">
        <v>1</v>
      </c>
      <c r="G187" s="13">
        <v>1</v>
      </c>
      <c r="H187" s="13">
        <v>4</v>
      </c>
      <c r="I187" s="1" t="s">
        <v>718</v>
      </c>
      <c r="J187" s="1" t="s">
        <v>634</v>
      </c>
      <c r="K187" s="1" t="s">
        <v>201</v>
      </c>
    </row>
    <row r="188" spans="1:11" x14ac:dyDescent="0.25">
      <c r="A188" s="11" t="s">
        <v>471</v>
      </c>
      <c r="B188" s="1" t="s">
        <v>5</v>
      </c>
      <c r="C188" s="13" t="s">
        <v>14</v>
      </c>
      <c r="D188" s="13" t="s">
        <v>1000</v>
      </c>
      <c r="E188" s="1" t="s">
        <v>987</v>
      </c>
      <c r="F188" s="12">
        <v>1</v>
      </c>
      <c r="G188" s="13">
        <v>1</v>
      </c>
      <c r="H188" s="13">
        <v>4</v>
      </c>
      <c r="I188" s="1" t="s">
        <v>718</v>
      </c>
      <c r="J188" s="1" t="s">
        <v>635</v>
      </c>
      <c r="K188" s="1" t="s">
        <v>202</v>
      </c>
    </row>
    <row r="189" spans="1:11" x14ac:dyDescent="0.25">
      <c r="A189" s="11" t="s">
        <v>472</v>
      </c>
      <c r="B189" s="1" t="s">
        <v>5</v>
      </c>
      <c r="C189" s="13" t="s">
        <v>15</v>
      </c>
      <c r="D189" s="13" t="s">
        <v>1000</v>
      </c>
      <c r="E189" s="1" t="s">
        <v>987</v>
      </c>
      <c r="F189" s="12">
        <v>1</v>
      </c>
      <c r="G189" s="13">
        <v>1</v>
      </c>
      <c r="H189" s="13">
        <v>4</v>
      </c>
      <c r="I189" s="1" t="s">
        <v>718</v>
      </c>
      <c r="J189" s="1" t="s">
        <v>636</v>
      </c>
      <c r="K189" s="1" t="s">
        <v>203</v>
      </c>
    </row>
    <row r="190" spans="1:11" x14ac:dyDescent="0.25">
      <c r="A190" s="11" t="s">
        <v>473</v>
      </c>
      <c r="B190" s="1" t="s">
        <v>5</v>
      </c>
      <c r="C190" s="13" t="s">
        <v>64</v>
      </c>
      <c r="D190" s="13" t="s">
        <v>1000</v>
      </c>
      <c r="E190" s="1" t="s">
        <v>987</v>
      </c>
      <c r="F190" s="12">
        <v>1</v>
      </c>
      <c r="G190" s="13">
        <v>1</v>
      </c>
      <c r="H190" s="13">
        <v>4</v>
      </c>
      <c r="I190" s="1" t="s">
        <v>718</v>
      </c>
      <c r="J190" s="1" t="s">
        <v>637</v>
      </c>
      <c r="K190" s="1" t="s">
        <v>204</v>
      </c>
    </row>
    <row r="191" spans="1:11" x14ac:dyDescent="0.25">
      <c r="A191" s="11" t="s">
        <v>474</v>
      </c>
      <c r="B191" s="1" t="s">
        <v>5</v>
      </c>
      <c r="C191" s="13" t="s">
        <v>68</v>
      </c>
      <c r="D191" s="13" t="s">
        <v>1000</v>
      </c>
      <c r="E191" s="1" t="s">
        <v>987</v>
      </c>
      <c r="F191" s="12">
        <v>1</v>
      </c>
      <c r="G191" s="13">
        <v>1</v>
      </c>
      <c r="H191" s="13">
        <v>4</v>
      </c>
      <c r="I191" s="1" t="s">
        <v>718</v>
      </c>
      <c r="J191" s="1" t="s">
        <v>638</v>
      </c>
      <c r="K191" s="1" t="s">
        <v>205</v>
      </c>
    </row>
    <row r="192" spans="1:11" x14ac:dyDescent="0.25">
      <c r="A192" s="11" t="s">
        <v>475</v>
      </c>
      <c r="B192" s="1" t="s">
        <v>5</v>
      </c>
      <c r="C192" s="13" t="s">
        <v>73</v>
      </c>
      <c r="D192" s="13" t="s">
        <v>1000</v>
      </c>
      <c r="E192" s="1" t="s">
        <v>895</v>
      </c>
      <c r="F192" s="12">
        <v>1</v>
      </c>
      <c r="G192" s="13">
        <v>2</v>
      </c>
      <c r="H192" s="13">
        <v>7</v>
      </c>
      <c r="I192" s="1" t="s">
        <v>718</v>
      </c>
      <c r="J192" s="1" t="s">
        <v>639</v>
      </c>
      <c r="K192" s="1" t="s">
        <v>206</v>
      </c>
    </row>
    <row r="193" spans="1:11" x14ac:dyDescent="0.25">
      <c r="A193" s="11" t="s">
        <v>476</v>
      </c>
      <c r="B193" s="1" t="s">
        <v>5</v>
      </c>
      <c r="C193" s="13" t="s">
        <v>10</v>
      </c>
      <c r="D193" s="13" t="s">
        <v>1000</v>
      </c>
      <c r="E193" s="1" t="s">
        <v>987</v>
      </c>
      <c r="F193" s="12">
        <v>1</v>
      </c>
      <c r="G193" s="13">
        <v>1</v>
      </c>
      <c r="H193" s="13">
        <v>4</v>
      </c>
      <c r="I193" s="1" t="s">
        <v>718</v>
      </c>
      <c r="J193" s="1" t="s">
        <v>640</v>
      </c>
      <c r="K193" s="1" t="s">
        <v>207</v>
      </c>
    </row>
    <row r="194" spans="1:11" x14ac:dyDescent="0.25">
      <c r="A194" s="11" t="s">
        <v>477</v>
      </c>
      <c r="B194" s="1" t="s">
        <v>208</v>
      </c>
      <c r="D194" s="13" t="s">
        <v>992</v>
      </c>
      <c r="E194" s="1" t="s">
        <v>896</v>
      </c>
      <c r="F194" s="12">
        <v>1</v>
      </c>
      <c r="G194" s="13" t="s">
        <v>209</v>
      </c>
      <c r="H194" s="13" t="s">
        <v>806</v>
      </c>
      <c r="I194" s="1" t="s">
        <v>688</v>
      </c>
      <c r="J194" s="1" t="s">
        <v>208</v>
      </c>
      <c r="K194" s="1" t="s">
        <v>210</v>
      </c>
    </row>
    <row r="195" spans="1:11" x14ac:dyDescent="0.25">
      <c r="A195" s="11" t="s">
        <v>478</v>
      </c>
      <c r="B195" s="1" t="s">
        <v>211</v>
      </c>
      <c r="C195" s="13" t="s">
        <v>11</v>
      </c>
      <c r="D195" s="13" t="s">
        <v>1002</v>
      </c>
      <c r="E195" s="1" t="s">
        <v>987</v>
      </c>
      <c r="F195" s="12">
        <v>1</v>
      </c>
      <c r="G195" s="13">
        <v>3</v>
      </c>
      <c r="H195" s="13">
        <v>10</v>
      </c>
      <c r="I195" s="1" t="s">
        <v>688</v>
      </c>
      <c r="J195" s="1" t="s">
        <v>641</v>
      </c>
      <c r="K195" s="1" t="s">
        <v>951</v>
      </c>
    </row>
    <row r="196" spans="1:11" x14ac:dyDescent="0.25">
      <c r="A196" s="11" t="s">
        <v>479</v>
      </c>
      <c r="B196" s="1" t="s">
        <v>212</v>
      </c>
      <c r="C196" s="13" t="s">
        <v>63</v>
      </c>
      <c r="D196" s="13" t="s">
        <v>992</v>
      </c>
      <c r="E196" s="1" t="s">
        <v>896</v>
      </c>
      <c r="F196" s="12">
        <v>3</v>
      </c>
      <c r="G196" s="13" t="s">
        <v>807</v>
      </c>
      <c r="H196" s="13" t="s">
        <v>808</v>
      </c>
      <c r="I196" s="1" t="s">
        <v>688</v>
      </c>
      <c r="J196" s="1" t="s">
        <v>642</v>
      </c>
      <c r="K196" s="1" t="s">
        <v>213</v>
      </c>
    </row>
    <row r="197" spans="1:11" x14ac:dyDescent="0.25">
      <c r="A197" s="11" t="s">
        <v>480</v>
      </c>
      <c r="B197" s="1" t="s">
        <v>1</v>
      </c>
      <c r="C197" s="13" t="s">
        <v>63</v>
      </c>
      <c r="D197" s="13" t="s">
        <v>992</v>
      </c>
      <c r="E197" s="1" t="s">
        <v>896</v>
      </c>
      <c r="F197" s="12">
        <v>3</v>
      </c>
      <c r="G197" s="13">
        <v>3</v>
      </c>
      <c r="H197" s="13">
        <v>10</v>
      </c>
      <c r="I197" s="1" t="s">
        <v>688</v>
      </c>
      <c r="J197" s="1" t="s">
        <v>643</v>
      </c>
      <c r="K197" s="1" t="s">
        <v>962</v>
      </c>
    </row>
    <row r="198" spans="1:11" x14ac:dyDescent="0.25">
      <c r="A198" s="11" t="s">
        <v>481</v>
      </c>
      <c r="B198" s="1" t="s">
        <v>214</v>
      </c>
      <c r="C198" s="13" t="s">
        <v>63</v>
      </c>
      <c r="D198" s="13" t="s">
        <v>992</v>
      </c>
      <c r="E198" s="1" t="s">
        <v>896</v>
      </c>
      <c r="F198" s="12">
        <v>3</v>
      </c>
      <c r="G198" s="13" t="s">
        <v>809</v>
      </c>
      <c r="H198" s="13" t="s">
        <v>810</v>
      </c>
      <c r="I198" s="1" t="s">
        <v>688</v>
      </c>
      <c r="J198" s="1" t="s">
        <v>644</v>
      </c>
      <c r="K198" s="1" t="s">
        <v>215</v>
      </c>
    </row>
    <row r="199" spans="1:11" x14ac:dyDescent="0.25">
      <c r="A199" s="11" t="s">
        <v>482</v>
      </c>
      <c r="B199" s="1" t="s">
        <v>216</v>
      </c>
      <c r="C199" s="13" t="s">
        <v>11</v>
      </c>
      <c r="D199" s="13" t="s">
        <v>1002</v>
      </c>
      <c r="E199" s="1" t="s">
        <v>987</v>
      </c>
      <c r="F199" s="12">
        <v>1</v>
      </c>
      <c r="G199" s="13">
        <v>3</v>
      </c>
      <c r="H199" s="13">
        <v>13</v>
      </c>
      <c r="I199" s="1" t="s">
        <v>688</v>
      </c>
      <c r="J199" s="1" t="s">
        <v>645</v>
      </c>
      <c r="K199" s="1" t="s">
        <v>956</v>
      </c>
    </row>
    <row r="200" spans="1:11" x14ac:dyDescent="0.25">
      <c r="A200" s="11" t="s">
        <v>483</v>
      </c>
      <c r="B200" s="1" t="s">
        <v>217</v>
      </c>
      <c r="C200" s="13" t="s">
        <v>218</v>
      </c>
      <c r="D200" s="13" t="s">
        <v>990</v>
      </c>
      <c r="E200" s="1" t="s">
        <v>986</v>
      </c>
      <c r="F200" s="12">
        <v>2</v>
      </c>
      <c r="G200" s="13">
        <v>2</v>
      </c>
      <c r="H200" s="13">
        <v>7</v>
      </c>
      <c r="I200" s="1" t="s">
        <v>718</v>
      </c>
      <c r="J200" s="1" t="s">
        <v>646</v>
      </c>
      <c r="K200" s="1" t="s">
        <v>963</v>
      </c>
    </row>
    <row r="201" spans="1:11" x14ac:dyDescent="0.25">
      <c r="A201" s="11" t="s">
        <v>484</v>
      </c>
      <c r="B201" s="1" t="s">
        <v>219</v>
      </c>
      <c r="C201" s="13">
        <v>0</v>
      </c>
      <c r="D201" s="13" t="s">
        <v>992</v>
      </c>
      <c r="E201" s="1" t="s">
        <v>12</v>
      </c>
      <c r="F201" s="12">
        <v>1</v>
      </c>
      <c r="G201" s="13">
        <v>3</v>
      </c>
      <c r="H201" s="13">
        <v>12</v>
      </c>
      <c r="I201" s="1" t="s">
        <v>688</v>
      </c>
      <c r="J201" s="1" t="s">
        <v>647</v>
      </c>
      <c r="K201" s="1" t="s">
        <v>220</v>
      </c>
    </row>
    <row r="202" spans="1:11" x14ac:dyDescent="0.25">
      <c r="A202" s="11" t="s">
        <v>485</v>
      </c>
      <c r="B202" s="1" t="s">
        <v>221</v>
      </c>
      <c r="D202" s="13" t="s">
        <v>992</v>
      </c>
      <c r="E202" s="1" t="s">
        <v>896</v>
      </c>
      <c r="F202" s="12">
        <v>1</v>
      </c>
      <c r="G202" s="13" t="s">
        <v>209</v>
      </c>
      <c r="H202" s="13" t="s">
        <v>806</v>
      </c>
      <c r="I202" s="1" t="s">
        <v>688</v>
      </c>
      <c r="J202" s="1" t="s">
        <v>221</v>
      </c>
      <c r="K202" s="1" t="s">
        <v>222</v>
      </c>
    </row>
    <row r="203" spans="1:11" x14ac:dyDescent="0.25">
      <c r="A203" s="11" t="s">
        <v>486</v>
      </c>
      <c r="B203" s="1" t="s">
        <v>223</v>
      </c>
      <c r="D203" s="13" t="s">
        <v>992</v>
      </c>
      <c r="E203" s="1" t="s">
        <v>12</v>
      </c>
      <c r="F203" s="12">
        <v>1</v>
      </c>
      <c r="G203" s="13">
        <v>3</v>
      </c>
      <c r="H203" s="13">
        <v>10</v>
      </c>
      <c r="I203" s="1" t="s">
        <v>688</v>
      </c>
      <c r="J203" s="1" t="s">
        <v>223</v>
      </c>
      <c r="K203" s="1" t="s">
        <v>952</v>
      </c>
    </row>
    <row r="204" spans="1:11" x14ac:dyDescent="0.25">
      <c r="A204" s="11" t="s">
        <v>487</v>
      </c>
      <c r="B204" s="1" t="s">
        <v>224</v>
      </c>
      <c r="C204" s="13" t="s">
        <v>63</v>
      </c>
      <c r="D204" s="13" t="s">
        <v>992</v>
      </c>
      <c r="E204" s="1" t="s">
        <v>896</v>
      </c>
      <c r="F204" s="12">
        <v>3</v>
      </c>
      <c r="G204" s="13" t="s">
        <v>807</v>
      </c>
      <c r="H204" s="13" t="s">
        <v>808</v>
      </c>
      <c r="I204" s="1" t="s">
        <v>688</v>
      </c>
      <c r="J204" s="1" t="s">
        <v>648</v>
      </c>
      <c r="K204" s="1" t="s">
        <v>225</v>
      </c>
    </row>
    <row r="205" spans="1:11" x14ac:dyDescent="0.25">
      <c r="A205" s="11" t="s">
        <v>488</v>
      </c>
      <c r="B205" s="1" t="s">
        <v>811</v>
      </c>
      <c r="D205" s="13" t="s">
        <v>992</v>
      </c>
      <c r="E205" s="1" t="s">
        <v>896</v>
      </c>
      <c r="F205" s="12">
        <v>1</v>
      </c>
      <c r="G205" s="13" t="s">
        <v>209</v>
      </c>
      <c r="H205" s="13" t="s">
        <v>806</v>
      </c>
      <c r="I205" s="1" t="s">
        <v>688</v>
      </c>
      <c r="J205" s="1" t="s">
        <v>811</v>
      </c>
      <c r="K205" s="1" t="s">
        <v>812</v>
      </c>
    </row>
    <row r="206" spans="1:11" x14ac:dyDescent="0.25">
      <c r="A206" s="11" t="s">
        <v>243</v>
      </c>
      <c r="B206" s="1" t="s">
        <v>226</v>
      </c>
      <c r="C206" s="13" t="s">
        <v>63</v>
      </c>
      <c r="D206" s="13" t="s">
        <v>992</v>
      </c>
      <c r="E206" s="1" t="s">
        <v>896</v>
      </c>
      <c r="F206" s="12">
        <v>3</v>
      </c>
      <c r="G206" s="13" t="s">
        <v>809</v>
      </c>
      <c r="H206" s="13" t="s">
        <v>810</v>
      </c>
      <c r="I206" s="1" t="s">
        <v>688</v>
      </c>
      <c r="J206" s="1" t="s">
        <v>649</v>
      </c>
      <c r="K206" s="1" t="s">
        <v>227</v>
      </c>
    </row>
    <row r="207" spans="1:11" x14ac:dyDescent="0.25">
      <c r="A207" s="11" t="s">
        <v>489</v>
      </c>
      <c r="B207" s="1" t="s">
        <v>228</v>
      </c>
      <c r="C207" s="13" t="s">
        <v>63</v>
      </c>
      <c r="D207" s="13" t="s">
        <v>992</v>
      </c>
      <c r="E207" s="1" t="s">
        <v>896</v>
      </c>
      <c r="F207" s="12">
        <v>3</v>
      </c>
      <c r="G207" s="13">
        <v>5</v>
      </c>
      <c r="H207" s="13">
        <v>18</v>
      </c>
      <c r="I207" s="1" t="s">
        <v>688</v>
      </c>
      <c r="J207" s="1" t="s">
        <v>650</v>
      </c>
      <c r="K207" s="1" t="s">
        <v>964</v>
      </c>
    </row>
    <row r="208" spans="1:11" x14ac:dyDescent="0.25">
      <c r="A208" s="11" t="s">
        <v>490</v>
      </c>
      <c r="B208" s="1" t="s">
        <v>229</v>
      </c>
      <c r="C208" s="13" t="s">
        <v>218</v>
      </c>
      <c r="D208" s="13" t="s">
        <v>990</v>
      </c>
      <c r="E208" s="1" t="s">
        <v>986</v>
      </c>
      <c r="F208" s="12">
        <v>2</v>
      </c>
      <c r="G208" s="13">
        <v>2</v>
      </c>
      <c r="H208" s="13">
        <v>7</v>
      </c>
      <c r="I208" s="1" t="s">
        <v>718</v>
      </c>
      <c r="J208" s="1" t="s">
        <v>651</v>
      </c>
      <c r="K208" s="1" t="s">
        <v>965</v>
      </c>
    </row>
    <row r="209" spans="1:11" x14ac:dyDescent="0.25">
      <c r="A209" s="11" t="s">
        <v>491</v>
      </c>
      <c r="B209" s="1" t="s">
        <v>219</v>
      </c>
      <c r="C209" s="13">
        <v>1</v>
      </c>
      <c r="D209" s="13" t="s">
        <v>992</v>
      </c>
      <c r="E209" s="1" t="s">
        <v>12</v>
      </c>
      <c r="F209" s="12">
        <v>1</v>
      </c>
      <c r="G209" s="13">
        <v>3</v>
      </c>
      <c r="H209" s="13">
        <v>12</v>
      </c>
      <c r="I209" s="1" t="s">
        <v>688</v>
      </c>
      <c r="J209" s="1" t="s">
        <v>652</v>
      </c>
      <c r="K209" s="1" t="s">
        <v>230</v>
      </c>
    </row>
    <row r="210" spans="1:11" x14ac:dyDescent="0.25">
      <c r="A210" s="11" t="s">
        <v>492</v>
      </c>
      <c r="B210" s="1" t="s">
        <v>231</v>
      </c>
      <c r="D210" s="13" t="s">
        <v>992</v>
      </c>
      <c r="E210" s="1" t="s">
        <v>896</v>
      </c>
      <c r="F210" s="12">
        <v>1</v>
      </c>
      <c r="G210" s="13" t="s">
        <v>209</v>
      </c>
      <c r="H210" s="13" t="s">
        <v>806</v>
      </c>
      <c r="I210" s="1" t="s">
        <v>688</v>
      </c>
      <c r="J210" s="1" t="s">
        <v>231</v>
      </c>
      <c r="K210" s="1" t="s">
        <v>232</v>
      </c>
    </row>
    <row r="211" spans="1:11" x14ac:dyDescent="0.25">
      <c r="A211" s="11" t="s">
        <v>493</v>
      </c>
      <c r="B211" s="1" t="s">
        <v>211</v>
      </c>
      <c r="C211" s="13" t="s">
        <v>14</v>
      </c>
      <c r="D211" s="13" t="s">
        <v>1002</v>
      </c>
      <c r="E211" s="1" t="s">
        <v>987</v>
      </c>
      <c r="F211" s="12">
        <v>1</v>
      </c>
      <c r="G211" s="13">
        <v>3</v>
      </c>
      <c r="H211" s="13">
        <v>10</v>
      </c>
      <c r="I211" s="1" t="s">
        <v>688</v>
      </c>
      <c r="J211" s="1" t="s">
        <v>653</v>
      </c>
      <c r="K211" s="1" t="s">
        <v>953</v>
      </c>
    </row>
    <row r="212" spans="1:11" x14ac:dyDescent="0.25">
      <c r="A212" s="11" t="s">
        <v>494</v>
      </c>
      <c r="B212" s="1" t="s">
        <v>233</v>
      </c>
      <c r="C212" s="13" t="s">
        <v>63</v>
      </c>
      <c r="D212" s="13" t="s">
        <v>992</v>
      </c>
      <c r="E212" s="1" t="s">
        <v>896</v>
      </c>
      <c r="F212" s="12">
        <v>3</v>
      </c>
      <c r="G212" s="13" t="s">
        <v>807</v>
      </c>
      <c r="H212" s="13" t="s">
        <v>808</v>
      </c>
      <c r="I212" s="1" t="s">
        <v>688</v>
      </c>
      <c r="J212" s="1" t="s">
        <v>654</v>
      </c>
      <c r="K212" s="1" t="s">
        <v>943</v>
      </c>
    </row>
    <row r="213" spans="1:11" x14ac:dyDescent="0.25">
      <c r="A213" s="11" t="s">
        <v>495</v>
      </c>
      <c r="B213" s="1" t="s">
        <v>234</v>
      </c>
      <c r="C213" s="13" t="s">
        <v>218</v>
      </c>
      <c r="D213" s="13" t="s">
        <v>994</v>
      </c>
      <c r="E213" s="1" t="s">
        <v>986</v>
      </c>
      <c r="F213" s="12">
        <v>2</v>
      </c>
      <c r="G213" s="13">
        <v>3</v>
      </c>
      <c r="H213" s="13">
        <v>10</v>
      </c>
      <c r="I213" s="1" t="s">
        <v>688</v>
      </c>
      <c r="J213" s="1" t="s">
        <v>655</v>
      </c>
      <c r="K213" s="1" t="s">
        <v>975</v>
      </c>
    </row>
    <row r="214" spans="1:11" x14ac:dyDescent="0.25">
      <c r="A214" s="11" t="s">
        <v>496</v>
      </c>
      <c r="B214" s="1" t="s">
        <v>235</v>
      </c>
      <c r="C214" s="13" t="s">
        <v>63</v>
      </c>
      <c r="D214" s="13" t="s">
        <v>992</v>
      </c>
      <c r="E214" s="1" t="s">
        <v>896</v>
      </c>
      <c r="F214" s="12">
        <v>3</v>
      </c>
      <c r="G214" s="13" t="s">
        <v>809</v>
      </c>
      <c r="H214" s="13" t="s">
        <v>810</v>
      </c>
      <c r="I214" s="1" t="s">
        <v>688</v>
      </c>
      <c r="J214" s="1" t="s">
        <v>656</v>
      </c>
      <c r="K214" s="1" t="s">
        <v>236</v>
      </c>
    </row>
    <row r="215" spans="1:11" x14ac:dyDescent="0.25">
      <c r="A215" s="11" t="s">
        <v>497</v>
      </c>
      <c r="B215" s="1" t="s">
        <v>216</v>
      </c>
      <c r="C215" s="13" t="s">
        <v>14</v>
      </c>
      <c r="D215" s="13" t="s">
        <v>1002</v>
      </c>
      <c r="E215" s="1" t="s">
        <v>987</v>
      </c>
      <c r="F215" s="12">
        <v>1</v>
      </c>
      <c r="G215" s="13">
        <v>3</v>
      </c>
      <c r="H215" s="13">
        <v>13</v>
      </c>
      <c r="I215" s="1" t="s">
        <v>688</v>
      </c>
      <c r="J215" s="1" t="s">
        <v>657</v>
      </c>
      <c r="K215" s="1" t="s">
        <v>957</v>
      </c>
    </row>
    <row r="216" spans="1:11" x14ac:dyDescent="0.25">
      <c r="A216" s="11" t="s">
        <v>498</v>
      </c>
      <c r="B216" s="1" t="s">
        <v>237</v>
      </c>
      <c r="C216" s="13" t="s">
        <v>218</v>
      </c>
      <c r="D216" s="13" t="s">
        <v>990</v>
      </c>
      <c r="E216" s="1" t="s">
        <v>986</v>
      </c>
      <c r="F216" s="12">
        <v>2</v>
      </c>
      <c r="G216" s="13">
        <v>2</v>
      </c>
      <c r="H216" s="13">
        <v>7</v>
      </c>
      <c r="I216" s="1" t="s">
        <v>718</v>
      </c>
      <c r="J216" s="1" t="s">
        <v>658</v>
      </c>
      <c r="K216" s="1" t="s">
        <v>966</v>
      </c>
    </row>
    <row r="217" spans="1:11" x14ac:dyDescent="0.25">
      <c r="A217" s="11" t="s">
        <v>499</v>
      </c>
      <c r="B217" s="1" t="s">
        <v>219</v>
      </c>
      <c r="C217" s="13">
        <v>2</v>
      </c>
      <c r="D217" s="13" t="s">
        <v>992</v>
      </c>
      <c r="E217" s="1" t="s">
        <v>12</v>
      </c>
      <c r="F217" s="12">
        <v>1</v>
      </c>
      <c r="G217" s="13">
        <v>3</v>
      </c>
      <c r="H217" s="13">
        <v>12</v>
      </c>
      <c r="I217" s="1" t="s">
        <v>688</v>
      </c>
      <c r="J217" s="1" t="s">
        <v>985</v>
      </c>
      <c r="K217" s="1" t="s">
        <v>238</v>
      </c>
    </row>
    <row r="218" spans="1:11" x14ac:dyDescent="0.25">
      <c r="A218" s="11" t="s">
        <v>500</v>
      </c>
      <c r="B218" s="1" t="s">
        <v>239</v>
      </c>
      <c r="D218" s="13" t="s">
        <v>992</v>
      </c>
      <c r="E218" s="1" t="s">
        <v>896</v>
      </c>
      <c r="F218" s="12">
        <v>1</v>
      </c>
      <c r="G218" s="13" t="s">
        <v>209</v>
      </c>
      <c r="H218" s="13" t="s">
        <v>806</v>
      </c>
      <c r="I218" s="1" t="s">
        <v>688</v>
      </c>
      <c r="J218" s="1" t="s">
        <v>239</v>
      </c>
      <c r="K218" s="1" t="s">
        <v>240</v>
      </c>
    </row>
    <row r="219" spans="1:11" x14ac:dyDescent="0.25">
      <c r="A219" s="11" t="s">
        <v>501</v>
      </c>
      <c r="B219" s="1" t="s">
        <v>813</v>
      </c>
      <c r="D219" s="13" t="s">
        <v>996</v>
      </c>
      <c r="E219" s="1" t="s">
        <v>895</v>
      </c>
      <c r="F219" s="12">
        <v>1</v>
      </c>
      <c r="G219" s="13">
        <v>3</v>
      </c>
      <c r="H219" s="13">
        <v>10</v>
      </c>
      <c r="I219" s="1" t="s">
        <v>688</v>
      </c>
      <c r="J219" s="1" t="s">
        <v>813</v>
      </c>
      <c r="K219" s="1" t="s">
        <v>982</v>
      </c>
    </row>
    <row r="220" spans="1:11" x14ac:dyDescent="0.25">
      <c r="A220" s="11" t="s">
        <v>502</v>
      </c>
      <c r="B220" s="1" t="s">
        <v>241</v>
      </c>
      <c r="C220" s="13" t="s">
        <v>63</v>
      </c>
      <c r="D220" s="13" t="s">
        <v>992</v>
      </c>
      <c r="E220" s="1" t="s">
        <v>896</v>
      </c>
      <c r="F220" s="12">
        <v>3</v>
      </c>
      <c r="G220" s="13" t="s">
        <v>807</v>
      </c>
      <c r="H220" s="13" t="s">
        <v>808</v>
      </c>
      <c r="I220" s="1" t="s">
        <v>688</v>
      </c>
      <c r="J220" s="1" t="s">
        <v>659</v>
      </c>
      <c r="K220" s="1" t="s">
        <v>944</v>
      </c>
    </row>
    <row r="221" spans="1:11" x14ac:dyDescent="0.25">
      <c r="A221" s="11" t="s">
        <v>503</v>
      </c>
      <c r="B221" s="1" t="s">
        <v>242</v>
      </c>
      <c r="C221" s="13" t="s">
        <v>218</v>
      </c>
      <c r="D221" s="13" t="s">
        <v>994</v>
      </c>
      <c r="E221" s="1" t="s">
        <v>986</v>
      </c>
      <c r="F221" s="12">
        <v>2</v>
      </c>
      <c r="G221" s="13">
        <v>3</v>
      </c>
      <c r="H221" s="13">
        <v>10</v>
      </c>
      <c r="I221" s="1" t="s">
        <v>688</v>
      </c>
      <c r="J221" s="1" t="s">
        <v>660</v>
      </c>
      <c r="K221" s="1" t="s">
        <v>975</v>
      </c>
    </row>
    <row r="222" spans="1:11" x14ac:dyDescent="0.25">
      <c r="A222" s="11" t="s">
        <v>504</v>
      </c>
      <c r="B222" s="1" t="s">
        <v>243</v>
      </c>
      <c r="C222" s="13" t="s">
        <v>63</v>
      </c>
      <c r="D222" s="13" t="s">
        <v>992</v>
      </c>
      <c r="E222" s="1" t="s">
        <v>896</v>
      </c>
      <c r="F222" s="12">
        <v>3</v>
      </c>
      <c r="G222" s="13" t="s">
        <v>809</v>
      </c>
      <c r="H222" s="13" t="s">
        <v>810</v>
      </c>
      <c r="I222" s="1" t="s">
        <v>688</v>
      </c>
      <c r="J222" s="1" t="s">
        <v>661</v>
      </c>
      <c r="K222" s="1" t="s">
        <v>244</v>
      </c>
    </row>
    <row r="223" spans="1:11" x14ac:dyDescent="0.25">
      <c r="A223" s="11" t="s">
        <v>505</v>
      </c>
      <c r="B223" s="1" t="s">
        <v>814</v>
      </c>
      <c r="C223" s="13" t="s">
        <v>63</v>
      </c>
      <c r="D223" s="13" t="s">
        <v>992</v>
      </c>
      <c r="E223" s="1" t="s">
        <v>896</v>
      </c>
      <c r="F223" s="12">
        <v>3</v>
      </c>
      <c r="G223" s="13" t="s">
        <v>807</v>
      </c>
      <c r="H223" s="13" t="s">
        <v>808</v>
      </c>
      <c r="I223" s="1" t="s">
        <v>688</v>
      </c>
      <c r="J223" s="1" t="s">
        <v>815</v>
      </c>
      <c r="K223" s="1" t="s">
        <v>976</v>
      </c>
    </row>
    <row r="224" spans="1:11" x14ac:dyDescent="0.25">
      <c r="A224" s="11" t="s">
        <v>506</v>
      </c>
      <c r="B224" s="1" t="s">
        <v>245</v>
      </c>
      <c r="C224" s="13" t="s">
        <v>218</v>
      </c>
      <c r="D224" s="13" t="s">
        <v>990</v>
      </c>
      <c r="E224" s="1" t="s">
        <v>986</v>
      </c>
      <c r="F224" s="12">
        <v>2</v>
      </c>
      <c r="G224" s="13">
        <v>2</v>
      </c>
      <c r="H224" s="13">
        <v>7</v>
      </c>
      <c r="I224" s="1" t="s">
        <v>718</v>
      </c>
      <c r="J224" s="1" t="s">
        <v>662</v>
      </c>
      <c r="K224" s="1" t="s">
        <v>967</v>
      </c>
    </row>
    <row r="225" spans="1:11" x14ac:dyDescent="0.25">
      <c r="A225" s="11" t="s">
        <v>507</v>
      </c>
      <c r="B225" s="1" t="s">
        <v>219</v>
      </c>
      <c r="C225" s="13">
        <v>3</v>
      </c>
      <c r="D225" s="13" t="s">
        <v>992</v>
      </c>
      <c r="E225" s="1" t="s">
        <v>12</v>
      </c>
      <c r="F225" s="12">
        <v>1</v>
      </c>
      <c r="G225" s="13">
        <v>3</v>
      </c>
      <c r="H225" s="13">
        <v>12</v>
      </c>
      <c r="I225" s="1" t="s">
        <v>688</v>
      </c>
      <c r="J225" s="1" t="s">
        <v>663</v>
      </c>
      <c r="K225" s="1" t="s">
        <v>246</v>
      </c>
    </row>
    <row r="226" spans="1:11" x14ac:dyDescent="0.25">
      <c r="A226" s="11" t="s">
        <v>508</v>
      </c>
      <c r="B226" s="1" t="s">
        <v>247</v>
      </c>
      <c r="D226" s="13" t="s">
        <v>992</v>
      </c>
      <c r="E226" s="1" t="s">
        <v>896</v>
      </c>
      <c r="F226" s="12">
        <v>1</v>
      </c>
      <c r="G226" s="13" t="s">
        <v>209</v>
      </c>
      <c r="H226" s="13" t="s">
        <v>806</v>
      </c>
      <c r="I226" s="1" t="s">
        <v>688</v>
      </c>
      <c r="J226" s="1" t="s">
        <v>247</v>
      </c>
      <c r="K226" s="1" t="s">
        <v>248</v>
      </c>
    </row>
    <row r="227" spans="1:11" x14ac:dyDescent="0.25">
      <c r="A227" s="11" t="s">
        <v>509</v>
      </c>
      <c r="B227" s="1" t="s">
        <v>211</v>
      </c>
      <c r="C227" s="13" t="s">
        <v>64</v>
      </c>
      <c r="D227" s="13" t="s">
        <v>1002</v>
      </c>
      <c r="E227" s="1" t="s">
        <v>987</v>
      </c>
      <c r="F227" s="12">
        <v>1</v>
      </c>
      <c r="G227" s="13">
        <v>3</v>
      </c>
      <c r="H227" s="13">
        <v>10</v>
      </c>
      <c r="I227" s="1" t="s">
        <v>688</v>
      </c>
      <c r="J227" s="1" t="s">
        <v>664</v>
      </c>
      <c r="K227" s="1" t="s">
        <v>954</v>
      </c>
    </row>
    <row r="228" spans="1:11" x14ac:dyDescent="0.25">
      <c r="A228" s="11" t="s">
        <v>510</v>
      </c>
      <c r="B228" s="1" t="s">
        <v>249</v>
      </c>
      <c r="C228" s="13" t="s">
        <v>63</v>
      </c>
      <c r="D228" s="13" t="s">
        <v>992</v>
      </c>
      <c r="E228" s="1" t="s">
        <v>896</v>
      </c>
      <c r="F228" s="12">
        <v>3</v>
      </c>
      <c r="G228" s="13" t="s">
        <v>807</v>
      </c>
      <c r="H228" s="13" t="s">
        <v>808</v>
      </c>
      <c r="I228" s="1" t="s">
        <v>688</v>
      </c>
      <c r="J228" s="1" t="s">
        <v>665</v>
      </c>
      <c r="K228" s="1" t="s">
        <v>250</v>
      </c>
    </row>
    <row r="229" spans="1:11" x14ac:dyDescent="0.25">
      <c r="A229" s="11" t="s">
        <v>511</v>
      </c>
      <c r="B229" s="1" t="s">
        <v>251</v>
      </c>
      <c r="D229" s="13" t="s">
        <v>1002</v>
      </c>
      <c r="E229" s="1" t="s">
        <v>12</v>
      </c>
      <c r="F229" s="12">
        <v>1</v>
      </c>
      <c r="G229" s="13">
        <v>5</v>
      </c>
      <c r="H229" s="13">
        <v>16</v>
      </c>
      <c r="I229" s="1" t="s">
        <v>688</v>
      </c>
      <c r="J229" s="1" t="s">
        <v>251</v>
      </c>
      <c r="K229" s="1" t="s">
        <v>960</v>
      </c>
    </row>
    <row r="230" spans="1:11" x14ac:dyDescent="0.25">
      <c r="A230" s="11" t="s">
        <v>512</v>
      </c>
      <c r="B230" s="1" t="s">
        <v>252</v>
      </c>
      <c r="C230" s="13" t="s">
        <v>63</v>
      </c>
      <c r="D230" s="13" t="s">
        <v>992</v>
      </c>
      <c r="E230" s="1" t="s">
        <v>896</v>
      </c>
      <c r="F230" s="12">
        <v>3</v>
      </c>
      <c r="G230" s="13" t="s">
        <v>809</v>
      </c>
      <c r="H230" s="13" t="s">
        <v>810</v>
      </c>
      <c r="I230" s="1" t="s">
        <v>688</v>
      </c>
      <c r="J230" s="1" t="s">
        <v>666</v>
      </c>
      <c r="K230" s="1" t="s">
        <v>253</v>
      </c>
    </row>
    <row r="231" spans="1:11" x14ac:dyDescent="0.25">
      <c r="A231" s="11" t="s">
        <v>513</v>
      </c>
      <c r="B231" s="1" t="s">
        <v>216</v>
      </c>
      <c r="C231" s="13" t="s">
        <v>64</v>
      </c>
      <c r="D231" s="13" t="s">
        <v>1002</v>
      </c>
      <c r="E231" s="1" t="s">
        <v>987</v>
      </c>
      <c r="F231" s="12">
        <v>1</v>
      </c>
      <c r="G231" s="13">
        <v>3</v>
      </c>
      <c r="H231" s="13">
        <v>13</v>
      </c>
      <c r="I231" s="1" t="s">
        <v>688</v>
      </c>
      <c r="J231" s="1" t="s">
        <v>667</v>
      </c>
      <c r="K231" s="1" t="s">
        <v>958</v>
      </c>
    </row>
    <row r="232" spans="1:11" x14ac:dyDescent="0.25">
      <c r="A232" s="11" t="s">
        <v>514</v>
      </c>
      <c r="B232" s="1" t="s">
        <v>254</v>
      </c>
      <c r="C232" s="13" t="s">
        <v>218</v>
      </c>
      <c r="D232" s="13" t="s">
        <v>1000</v>
      </c>
      <c r="E232" s="1" t="s">
        <v>986</v>
      </c>
      <c r="F232" s="12">
        <v>2</v>
      </c>
      <c r="G232" s="13">
        <v>2</v>
      </c>
      <c r="H232" s="13">
        <v>7</v>
      </c>
      <c r="I232" s="1" t="s">
        <v>803</v>
      </c>
      <c r="J232" s="1" t="s">
        <v>668</v>
      </c>
      <c r="K232" s="1" t="s">
        <v>968</v>
      </c>
    </row>
    <row r="233" spans="1:11" x14ac:dyDescent="0.25">
      <c r="A233" s="11" t="s">
        <v>515</v>
      </c>
      <c r="B233" s="1" t="s">
        <v>219</v>
      </c>
      <c r="C233" s="13">
        <v>4</v>
      </c>
      <c r="D233" s="13" t="s">
        <v>992</v>
      </c>
      <c r="E233" s="1" t="s">
        <v>12</v>
      </c>
      <c r="F233" s="12">
        <v>1</v>
      </c>
      <c r="G233" s="13">
        <v>3</v>
      </c>
      <c r="H233" s="13">
        <v>12</v>
      </c>
      <c r="I233" s="1" t="s">
        <v>688</v>
      </c>
      <c r="J233" s="1" t="s">
        <v>669</v>
      </c>
      <c r="K233" s="1" t="s">
        <v>255</v>
      </c>
    </row>
    <row r="234" spans="1:11" x14ac:dyDescent="0.25">
      <c r="A234" s="11" t="s">
        <v>516</v>
      </c>
      <c r="B234" s="1" t="s">
        <v>256</v>
      </c>
      <c r="D234" s="13" t="s">
        <v>992</v>
      </c>
      <c r="E234" s="1" t="s">
        <v>896</v>
      </c>
      <c r="F234" s="12">
        <v>1</v>
      </c>
      <c r="G234" s="13" t="s">
        <v>209</v>
      </c>
      <c r="H234" s="13" t="s">
        <v>806</v>
      </c>
      <c r="I234" s="1" t="s">
        <v>688</v>
      </c>
      <c r="J234" s="1" t="s">
        <v>256</v>
      </c>
      <c r="K234" s="1" t="s">
        <v>257</v>
      </c>
    </row>
    <row r="235" spans="1:11" x14ac:dyDescent="0.25">
      <c r="A235" s="11" t="s">
        <v>517</v>
      </c>
      <c r="B235" s="1" t="s">
        <v>258</v>
      </c>
      <c r="D235" s="13" t="s">
        <v>992</v>
      </c>
      <c r="E235" s="1" t="s">
        <v>12</v>
      </c>
      <c r="F235" s="12">
        <v>1</v>
      </c>
      <c r="G235" s="13">
        <v>1</v>
      </c>
      <c r="H235" s="13">
        <v>6</v>
      </c>
      <c r="I235" s="1" t="s">
        <v>688</v>
      </c>
      <c r="J235" s="1" t="s">
        <v>258</v>
      </c>
      <c r="K235" s="1" t="s">
        <v>970</v>
      </c>
    </row>
    <row r="236" spans="1:11" x14ac:dyDescent="0.25">
      <c r="A236" s="11" t="s">
        <v>518</v>
      </c>
      <c r="B236" s="1" t="s">
        <v>259</v>
      </c>
      <c r="C236" s="13" t="s">
        <v>63</v>
      </c>
      <c r="D236" s="13" t="s">
        <v>992</v>
      </c>
      <c r="E236" s="1" t="s">
        <v>896</v>
      </c>
      <c r="F236" s="12">
        <v>3</v>
      </c>
      <c r="G236" s="13" t="s">
        <v>807</v>
      </c>
      <c r="H236" s="13" t="s">
        <v>808</v>
      </c>
      <c r="I236" s="1" t="s">
        <v>688</v>
      </c>
      <c r="J236" s="1" t="s">
        <v>670</v>
      </c>
      <c r="K236" s="1" t="s">
        <v>260</v>
      </c>
    </row>
    <row r="237" spans="1:11" x14ac:dyDescent="0.25">
      <c r="A237" s="11" t="s">
        <v>519</v>
      </c>
      <c r="B237" s="1" t="s">
        <v>261</v>
      </c>
      <c r="D237" s="13" t="s">
        <v>996</v>
      </c>
      <c r="E237" s="1" t="s">
        <v>987</v>
      </c>
      <c r="F237" s="12">
        <v>1</v>
      </c>
      <c r="G237" s="13">
        <v>1</v>
      </c>
      <c r="H237" s="13">
        <v>4</v>
      </c>
      <c r="I237" s="1" t="s">
        <v>688</v>
      </c>
      <c r="J237" s="1" t="s">
        <v>261</v>
      </c>
      <c r="K237" s="1" t="s">
        <v>961</v>
      </c>
    </row>
    <row r="238" spans="1:11" x14ac:dyDescent="0.25">
      <c r="A238" s="11" t="s">
        <v>520</v>
      </c>
      <c r="B238" s="1" t="s">
        <v>262</v>
      </c>
      <c r="C238" s="13" t="s">
        <v>63</v>
      </c>
      <c r="D238" s="13" t="s">
        <v>992</v>
      </c>
      <c r="E238" s="1" t="s">
        <v>896</v>
      </c>
      <c r="F238" s="12">
        <v>3</v>
      </c>
      <c r="G238" s="13" t="s">
        <v>809</v>
      </c>
      <c r="H238" s="13" t="s">
        <v>810</v>
      </c>
      <c r="I238" s="1" t="s">
        <v>688</v>
      </c>
      <c r="J238" s="1" t="s">
        <v>671</v>
      </c>
      <c r="K238" s="1" t="s">
        <v>263</v>
      </c>
    </row>
    <row r="239" spans="1:11" x14ac:dyDescent="0.25">
      <c r="A239" s="11" t="s">
        <v>521</v>
      </c>
      <c r="B239" s="1" t="s">
        <v>816</v>
      </c>
      <c r="D239" s="13" t="s">
        <v>996</v>
      </c>
      <c r="E239" s="1" t="s">
        <v>895</v>
      </c>
      <c r="F239" s="12">
        <v>1</v>
      </c>
      <c r="G239" s="13">
        <v>3</v>
      </c>
      <c r="H239" s="13">
        <v>10</v>
      </c>
      <c r="I239" s="1" t="s">
        <v>688</v>
      </c>
      <c r="J239" s="1" t="s">
        <v>816</v>
      </c>
      <c r="K239" s="1" t="s">
        <v>981</v>
      </c>
    </row>
    <row r="240" spans="1:11" x14ac:dyDescent="0.25">
      <c r="A240" s="11" t="s">
        <v>522</v>
      </c>
      <c r="B240" s="1" t="s">
        <v>264</v>
      </c>
      <c r="C240" s="13" t="s">
        <v>218</v>
      </c>
      <c r="D240" s="13" t="s">
        <v>1000</v>
      </c>
      <c r="E240" s="1" t="s">
        <v>986</v>
      </c>
      <c r="F240" s="12">
        <v>2</v>
      </c>
      <c r="G240" s="13">
        <v>2</v>
      </c>
      <c r="H240" s="13">
        <v>7</v>
      </c>
      <c r="I240" s="1" t="s">
        <v>804</v>
      </c>
      <c r="J240" s="1" t="s">
        <v>672</v>
      </c>
      <c r="K240" s="1" t="s">
        <v>969</v>
      </c>
    </row>
    <row r="241" spans="1:11" x14ac:dyDescent="0.25">
      <c r="A241" s="11" t="s">
        <v>523</v>
      </c>
      <c r="B241" s="1" t="s">
        <v>219</v>
      </c>
      <c r="C241" s="13">
        <v>5</v>
      </c>
      <c r="D241" s="13" t="s">
        <v>992</v>
      </c>
      <c r="E241" s="1" t="s">
        <v>12</v>
      </c>
      <c r="F241" s="12">
        <v>1</v>
      </c>
      <c r="G241" s="13">
        <v>3</v>
      </c>
      <c r="H241" s="13">
        <v>12</v>
      </c>
      <c r="I241" s="1" t="s">
        <v>688</v>
      </c>
      <c r="J241" s="1" t="s">
        <v>673</v>
      </c>
      <c r="K241" s="1" t="s">
        <v>265</v>
      </c>
    </row>
    <row r="242" spans="1:11" x14ac:dyDescent="0.25">
      <c r="A242" s="11" t="s">
        <v>524</v>
      </c>
      <c r="B242" s="1" t="s">
        <v>266</v>
      </c>
      <c r="D242" s="13" t="s">
        <v>992</v>
      </c>
      <c r="E242" s="1" t="s">
        <v>896</v>
      </c>
      <c r="F242" s="12">
        <v>1</v>
      </c>
      <c r="G242" s="13" t="s">
        <v>209</v>
      </c>
      <c r="H242" s="13" t="s">
        <v>806</v>
      </c>
      <c r="I242" s="1" t="s">
        <v>688</v>
      </c>
      <c r="J242" s="1" t="s">
        <v>266</v>
      </c>
      <c r="K242" s="1" t="s">
        <v>267</v>
      </c>
    </row>
    <row r="243" spans="1:11" x14ac:dyDescent="0.25">
      <c r="A243" s="11" t="s">
        <v>525</v>
      </c>
      <c r="B243" s="1" t="s">
        <v>211</v>
      </c>
      <c r="C243" s="13" t="s">
        <v>268</v>
      </c>
      <c r="D243" s="13" t="s">
        <v>1002</v>
      </c>
      <c r="E243" s="1" t="s">
        <v>987</v>
      </c>
      <c r="F243" s="12">
        <v>1</v>
      </c>
      <c r="I243" s="1" t="s">
        <v>718</v>
      </c>
      <c r="J243" s="1" t="s">
        <v>674</v>
      </c>
      <c r="K243" s="1" t="s">
        <v>955</v>
      </c>
    </row>
    <row r="244" spans="1:11" x14ac:dyDescent="0.25">
      <c r="A244" s="11" t="s">
        <v>526</v>
      </c>
      <c r="B244" s="1" t="s">
        <v>269</v>
      </c>
      <c r="C244" s="13" t="s">
        <v>63</v>
      </c>
      <c r="D244" s="13" t="s">
        <v>992</v>
      </c>
      <c r="E244" s="1" t="s">
        <v>896</v>
      </c>
      <c r="F244" s="12">
        <v>3</v>
      </c>
      <c r="G244" s="13" t="s">
        <v>807</v>
      </c>
      <c r="H244" s="13" t="s">
        <v>808</v>
      </c>
      <c r="I244" s="1" t="s">
        <v>688</v>
      </c>
      <c r="J244" s="1" t="s">
        <v>675</v>
      </c>
      <c r="K244" s="1" t="s">
        <v>272</v>
      </c>
    </row>
    <row r="245" spans="1:11" x14ac:dyDescent="0.25">
      <c r="A245" s="11" t="s">
        <v>527</v>
      </c>
      <c r="B245" s="1" t="s">
        <v>270</v>
      </c>
      <c r="D245" s="13" t="s">
        <v>994</v>
      </c>
      <c r="E245" s="1" t="s">
        <v>12</v>
      </c>
      <c r="F245" s="12">
        <v>1</v>
      </c>
      <c r="I245" s="1" t="s">
        <v>688</v>
      </c>
      <c r="J245" s="1" t="s">
        <v>270</v>
      </c>
      <c r="K245" s="1" t="s">
        <v>975</v>
      </c>
    </row>
    <row r="246" spans="1:11" x14ac:dyDescent="0.25">
      <c r="A246" s="11" t="s">
        <v>528</v>
      </c>
      <c r="B246" s="1" t="s">
        <v>271</v>
      </c>
      <c r="C246" s="13" t="s">
        <v>63</v>
      </c>
      <c r="D246" s="13" t="s">
        <v>992</v>
      </c>
      <c r="E246" s="1" t="s">
        <v>896</v>
      </c>
      <c r="F246" s="12">
        <v>3</v>
      </c>
      <c r="G246" s="13" t="s">
        <v>809</v>
      </c>
      <c r="H246" s="13" t="s">
        <v>810</v>
      </c>
      <c r="I246" s="1" t="s">
        <v>688</v>
      </c>
      <c r="J246" s="1" t="s">
        <v>676</v>
      </c>
      <c r="K246" s="1" t="s">
        <v>971</v>
      </c>
    </row>
    <row r="247" spans="1:11" x14ac:dyDescent="0.25">
      <c r="A247" s="11" t="s">
        <v>529</v>
      </c>
      <c r="B247" s="1" t="s">
        <v>216</v>
      </c>
      <c r="C247" s="13" t="s">
        <v>268</v>
      </c>
      <c r="D247" s="13" t="s">
        <v>1002</v>
      </c>
      <c r="E247" s="1" t="s">
        <v>987</v>
      </c>
      <c r="F247" s="12">
        <v>1</v>
      </c>
      <c r="G247" s="13">
        <v>3</v>
      </c>
      <c r="H247" s="13">
        <v>13</v>
      </c>
      <c r="I247" s="1" t="s">
        <v>688</v>
      </c>
      <c r="J247" s="1" t="s">
        <v>677</v>
      </c>
      <c r="K247" s="1" t="s">
        <v>959</v>
      </c>
    </row>
    <row r="248" spans="1:11" x14ac:dyDescent="0.25">
      <c r="A248" s="11" t="s">
        <v>530</v>
      </c>
      <c r="B248" s="1" t="s">
        <v>273</v>
      </c>
      <c r="C248" s="13" t="s">
        <v>218</v>
      </c>
      <c r="D248" s="13" t="s">
        <v>1000</v>
      </c>
      <c r="E248" s="1" t="s">
        <v>986</v>
      </c>
      <c r="F248" s="12">
        <v>2</v>
      </c>
      <c r="I248" s="1" t="s">
        <v>805</v>
      </c>
      <c r="J248" s="1" t="s">
        <v>678</v>
      </c>
      <c r="K248" s="1" t="s">
        <v>972</v>
      </c>
    </row>
    <row r="249" spans="1:11" x14ac:dyDescent="0.25">
      <c r="A249" s="11" t="s">
        <v>531</v>
      </c>
      <c r="B249" s="1" t="s">
        <v>219</v>
      </c>
      <c r="C249" s="13">
        <v>6</v>
      </c>
      <c r="D249" s="13" t="s">
        <v>992</v>
      </c>
      <c r="E249" s="1" t="s">
        <v>12</v>
      </c>
      <c r="F249" s="12">
        <v>1</v>
      </c>
      <c r="G249" s="13">
        <v>3</v>
      </c>
      <c r="H249" s="13">
        <v>12</v>
      </c>
      <c r="I249" s="1" t="s">
        <v>688</v>
      </c>
      <c r="J249" s="1" t="s">
        <v>679</v>
      </c>
      <c r="K249" s="1" t="s">
        <v>274</v>
      </c>
    </row>
    <row r="250" spans="1:11" x14ac:dyDescent="0.25">
      <c r="A250" s="11" t="s">
        <v>532</v>
      </c>
      <c r="B250" s="1" t="s">
        <v>275</v>
      </c>
      <c r="D250" s="13" t="s">
        <v>992</v>
      </c>
      <c r="E250" s="1" t="s">
        <v>896</v>
      </c>
      <c r="F250" s="12">
        <v>1</v>
      </c>
      <c r="G250" s="13" t="s">
        <v>209</v>
      </c>
      <c r="H250" s="13" t="s">
        <v>806</v>
      </c>
      <c r="I250" s="1" t="s">
        <v>688</v>
      </c>
      <c r="J250" s="1" t="s">
        <v>275</v>
      </c>
      <c r="K250" s="1" t="s">
        <v>276</v>
      </c>
    </row>
    <row r="251" spans="1:11" x14ac:dyDescent="0.25">
      <c r="A251" s="11" t="s">
        <v>533</v>
      </c>
      <c r="B251" s="1" t="s">
        <v>277</v>
      </c>
      <c r="D251" s="13" t="s">
        <v>1002</v>
      </c>
      <c r="E251" s="1" t="s">
        <v>12</v>
      </c>
      <c r="F251" s="12">
        <v>1</v>
      </c>
      <c r="G251" s="13">
        <v>1</v>
      </c>
      <c r="H251" s="13">
        <v>6</v>
      </c>
      <c r="I251" s="1" t="s">
        <v>688</v>
      </c>
      <c r="J251" s="1" t="s">
        <v>277</v>
      </c>
      <c r="K251" s="1" t="s">
        <v>973</v>
      </c>
    </row>
    <row r="252" spans="1:11" x14ac:dyDescent="0.25">
      <c r="A252" s="11" t="s">
        <v>534</v>
      </c>
      <c r="B252" s="1" t="s">
        <v>278</v>
      </c>
      <c r="C252" s="13" t="s">
        <v>63</v>
      </c>
      <c r="D252" s="13" t="s">
        <v>992</v>
      </c>
      <c r="E252" s="1" t="s">
        <v>896</v>
      </c>
      <c r="F252" s="12">
        <v>3</v>
      </c>
      <c r="G252" s="13" t="s">
        <v>807</v>
      </c>
      <c r="H252" s="13" t="s">
        <v>808</v>
      </c>
      <c r="I252" s="1" t="s">
        <v>688</v>
      </c>
      <c r="J252" s="1" t="s">
        <v>680</v>
      </c>
      <c r="K252" s="1" t="s">
        <v>279</v>
      </c>
    </row>
    <row r="253" spans="1:11" x14ac:dyDescent="0.25">
      <c r="A253" s="11" t="s">
        <v>535</v>
      </c>
      <c r="B253" s="1" t="s">
        <v>280</v>
      </c>
      <c r="D253" s="13" t="s">
        <v>994</v>
      </c>
      <c r="E253" s="1" t="s">
        <v>12</v>
      </c>
      <c r="F253" s="12">
        <v>1</v>
      </c>
      <c r="I253" s="1" t="s">
        <v>688</v>
      </c>
      <c r="J253" s="1" t="s">
        <v>280</v>
      </c>
      <c r="K253" s="1" t="s">
        <v>975</v>
      </c>
    </row>
    <row r="254" spans="1:11" x14ac:dyDescent="0.25">
      <c r="A254" s="11" t="s">
        <v>536</v>
      </c>
      <c r="B254" s="1" t="s">
        <v>281</v>
      </c>
      <c r="C254" s="13" t="s">
        <v>63</v>
      </c>
      <c r="D254" s="13" t="s">
        <v>992</v>
      </c>
      <c r="E254" s="1" t="s">
        <v>896</v>
      </c>
      <c r="F254" s="12">
        <v>3</v>
      </c>
      <c r="G254" s="13" t="s">
        <v>809</v>
      </c>
      <c r="H254" s="13" t="s">
        <v>810</v>
      </c>
      <c r="I254" s="1" t="s">
        <v>688</v>
      </c>
      <c r="J254" s="1" t="s">
        <v>681</v>
      </c>
      <c r="K254" s="1" t="s">
        <v>282</v>
      </c>
    </row>
    <row r="255" spans="1:11" x14ac:dyDescent="0.25">
      <c r="A255" s="11" t="s">
        <v>537</v>
      </c>
      <c r="B255" s="1" t="s">
        <v>817</v>
      </c>
      <c r="C255" s="13" t="s">
        <v>63</v>
      </c>
      <c r="D255" s="13" t="s">
        <v>992</v>
      </c>
      <c r="E255" s="1" t="s">
        <v>896</v>
      </c>
      <c r="F255" s="12">
        <v>3</v>
      </c>
      <c r="G255" s="13" t="s">
        <v>807</v>
      </c>
      <c r="H255" s="13" t="s">
        <v>808</v>
      </c>
      <c r="I255" s="1" t="s">
        <v>688</v>
      </c>
      <c r="J255" s="1" t="s">
        <v>818</v>
      </c>
      <c r="K255" s="1" t="s">
        <v>977</v>
      </c>
    </row>
    <row r="256" spans="1:11" x14ac:dyDescent="0.25">
      <c r="A256" s="11" t="s">
        <v>538</v>
      </c>
      <c r="B256" s="1" t="s">
        <v>283</v>
      </c>
      <c r="C256" s="13" t="s">
        <v>218</v>
      </c>
      <c r="D256" s="13" t="s">
        <v>992</v>
      </c>
      <c r="E256" s="1" t="s">
        <v>986</v>
      </c>
      <c r="F256" s="12">
        <v>2</v>
      </c>
      <c r="I256" s="1" t="s">
        <v>718</v>
      </c>
      <c r="J256" s="1" t="s">
        <v>682</v>
      </c>
      <c r="K256" s="1" t="s">
        <v>974</v>
      </c>
    </row>
    <row r="257" spans="1:11" x14ac:dyDescent="0.25">
      <c r="A257" s="11" t="s">
        <v>539</v>
      </c>
      <c r="B257" s="1" t="s">
        <v>219</v>
      </c>
      <c r="C257" s="13">
        <v>7</v>
      </c>
      <c r="D257" s="13" t="s">
        <v>992</v>
      </c>
      <c r="E257" s="1" t="s">
        <v>12</v>
      </c>
      <c r="F257" s="12">
        <v>1</v>
      </c>
      <c r="G257" s="13">
        <v>3</v>
      </c>
      <c r="H257" s="13">
        <v>12</v>
      </c>
      <c r="I257" s="1" t="s">
        <v>688</v>
      </c>
      <c r="J257" s="1" t="s">
        <v>683</v>
      </c>
      <c r="K257" s="1" t="s">
        <v>284</v>
      </c>
    </row>
  </sheetData>
  <autoFilter ref="A1:K257" xr:uid="{B84696B0-4312-4A21-BDEB-2231D800C310}"/>
  <pageMargins left="0.7" right="0.7" top="0.75" bottom="0.75" header="0.3" footer="0.3"/>
  <pageSetup paperSize="9" orientation="portrait" r:id="rId1"/>
  <ignoredErrors>
    <ignoredError sqref="A2:A25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17"/>
  <sheetViews>
    <sheetView workbookViewId="0">
      <selection activeCell="E13" sqref="E13"/>
    </sheetView>
  </sheetViews>
  <sheetFormatPr defaultColWidth="3.85546875" defaultRowHeight="13.5" x14ac:dyDescent="0.25"/>
  <cols>
    <col min="1" max="1" width="2.140625" style="18" bestFit="1" customWidth="1"/>
    <col min="2" max="17" width="11" style="15" customWidth="1"/>
    <col min="18" max="16384" width="3.85546875" style="15"/>
  </cols>
  <sheetData>
    <row r="1" spans="1:17" s="18" customFormat="1" x14ac:dyDescent="0.25">
      <c r="A1" s="16" t="s">
        <v>21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 t="s">
        <v>10</v>
      </c>
      <c r="M1" s="17" t="s">
        <v>11</v>
      </c>
      <c r="N1" s="17" t="s">
        <v>13</v>
      </c>
      <c r="O1" s="17" t="s">
        <v>14</v>
      </c>
      <c r="P1" s="17" t="s">
        <v>15</v>
      </c>
      <c r="Q1" s="17" t="s">
        <v>16</v>
      </c>
    </row>
    <row r="2" spans="1:17" ht="27" x14ac:dyDescent="0.25">
      <c r="A2" s="17">
        <v>0</v>
      </c>
      <c r="B2" s="15" t="str">
        <f>TRIM(INDEX(OpCode!$A$2:$J$257,HEX2DEC($A2)*16+HEX2DEC(B$1)+1,2)&amp;CHAR(10)&amp;INDEX(OpCode!$A$2:$J$257,HEX2DEC($A2)*16+HEX2DEC(B$1)+1,3))</f>
        <v xml:space="preserve">NOP
</v>
      </c>
      <c r="C2" s="15" t="str">
        <f>TRIM(INDEX(OpCode!$A$2:$J$257,HEX2DEC($A2)*16+HEX2DEC(C$1)+1,2)&amp;CHAR(10)&amp;INDEX(OpCode!$A$2:$J$257,HEX2DEC($A2)*16+HEX2DEC(C$1)+1,3))</f>
        <v>LXI
B,d16</v>
      </c>
      <c r="D2" s="15" t="str">
        <f>TRIM(INDEX(OpCode!$A$2:$J$257,HEX2DEC($A2)*16+HEX2DEC(D$1)+1,2)&amp;CHAR(10)&amp;INDEX(OpCode!$A$2:$J$257,HEX2DEC($A2)*16+HEX2DEC(D$1)+1,3))</f>
        <v>STAX
B</v>
      </c>
      <c r="E2" s="15" t="str">
        <f>TRIM(INDEX(OpCode!$A$2:$J$257,HEX2DEC($A2)*16+HEX2DEC(E$1)+1,2)&amp;CHAR(10)&amp;INDEX(OpCode!$A$2:$J$257,HEX2DEC($A2)*16+HEX2DEC(E$1)+1,3))</f>
        <v>INX
B</v>
      </c>
      <c r="F2" s="15" t="str">
        <f>TRIM(INDEX(OpCode!$A$2:$J$257,HEX2DEC($A2)*16+HEX2DEC(F$1)+1,2)&amp;CHAR(10)&amp;INDEX(OpCode!$A$2:$J$257,HEX2DEC($A2)*16+HEX2DEC(F$1)+1,3))</f>
        <v>INR
B</v>
      </c>
      <c r="G2" s="15" t="str">
        <f>TRIM(INDEX(OpCode!$A$2:$J$257,HEX2DEC($A2)*16+HEX2DEC(G$1)+1,2)&amp;CHAR(10)&amp;INDEX(OpCode!$A$2:$J$257,HEX2DEC($A2)*16+HEX2DEC(G$1)+1,3))</f>
        <v>DCR
B</v>
      </c>
      <c r="H2" s="15" t="str">
        <f>TRIM(INDEX(OpCode!$A$2:$J$257,HEX2DEC($A2)*16+HEX2DEC(H$1)+1,2)&amp;CHAR(10)&amp;INDEX(OpCode!$A$2:$J$257,HEX2DEC($A2)*16+HEX2DEC(H$1)+1,3))</f>
        <v>MVI
B,d8</v>
      </c>
      <c r="I2" s="15" t="str">
        <f>TRIM(INDEX(OpCode!$A$2:$J$257,HEX2DEC($A2)*16+HEX2DEC(I$1)+1,2)&amp;CHAR(10)&amp;INDEX(OpCode!$A$2:$J$257,HEX2DEC($A2)*16+HEX2DEC(I$1)+1,3))</f>
        <v xml:space="preserve">RLC
</v>
      </c>
      <c r="J2" s="15" t="str">
        <f>TRIM(INDEX(OpCode!$A$2:$J$257,HEX2DEC($A2)*16+HEX2DEC(J$1)+1,2)&amp;CHAR(10)&amp;INDEX(OpCode!$A$2:$J$257,HEX2DEC($A2)*16+HEX2DEC(J$1)+1,3))</f>
        <v xml:space="preserve">DSUB
</v>
      </c>
      <c r="K2" s="15" t="str">
        <f>TRIM(INDEX(OpCode!$A$2:$J$257,HEX2DEC($A2)*16+HEX2DEC(K$1)+1,2)&amp;CHAR(10)&amp;INDEX(OpCode!$A$2:$J$257,HEX2DEC($A2)*16+HEX2DEC(K$1)+1,3))</f>
        <v>DAD
B</v>
      </c>
      <c r="L2" s="15" t="str">
        <f>TRIM(INDEX(OpCode!$A$2:$J$257,HEX2DEC($A2)*16+HEX2DEC(L$1)+1,2)&amp;CHAR(10)&amp;INDEX(OpCode!$A$2:$J$257,HEX2DEC($A2)*16+HEX2DEC(L$1)+1,3))</f>
        <v>LDAX
B</v>
      </c>
      <c r="M2" s="15" t="str">
        <f>TRIM(INDEX(OpCode!$A$2:$J$257,HEX2DEC($A2)*16+HEX2DEC(M$1)+1,2)&amp;CHAR(10)&amp;INDEX(OpCode!$A$2:$J$257,HEX2DEC($A2)*16+HEX2DEC(M$1)+1,3))</f>
        <v>DCX
B</v>
      </c>
      <c r="N2" s="15" t="str">
        <f>TRIM(INDEX(OpCode!$A$2:$J$257,HEX2DEC($A2)*16+HEX2DEC(N$1)+1,2)&amp;CHAR(10)&amp;INDEX(OpCode!$A$2:$J$257,HEX2DEC($A2)*16+HEX2DEC(N$1)+1,3))</f>
        <v>INR
C</v>
      </c>
      <c r="O2" s="15" t="str">
        <f>TRIM(INDEX(OpCode!$A$2:$J$257,HEX2DEC($A2)*16+HEX2DEC(O$1)+1,2)&amp;CHAR(10)&amp;INDEX(OpCode!$A$2:$J$257,HEX2DEC($A2)*16+HEX2DEC(O$1)+1,3))</f>
        <v>DCR
C</v>
      </c>
      <c r="P2" s="15" t="str">
        <f>TRIM(INDEX(OpCode!$A$2:$J$257,HEX2DEC($A2)*16+HEX2DEC(P$1)+1,2)&amp;CHAR(10)&amp;INDEX(OpCode!$A$2:$J$257,HEX2DEC($A2)*16+HEX2DEC(P$1)+1,3))</f>
        <v>MVI
C,d8</v>
      </c>
      <c r="Q2" s="15" t="str">
        <f>TRIM(INDEX(OpCode!$A$2:$J$257,HEX2DEC($A2)*16+HEX2DEC(Q$1)+1,2)&amp;CHAR(10)&amp;INDEX(OpCode!$A$2:$J$257,HEX2DEC($A2)*16+HEX2DEC(Q$1)+1,3))</f>
        <v xml:space="preserve">RRC
</v>
      </c>
    </row>
    <row r="3" spans="1:17" ht="40.5" x14ac:dyDescent="0.25">
      <c r="A3" s="17">
        <v>1</v>
      </c>
      <c r="B3" s="15" t="str">
        <f>TRIM(INDEX(OpCode!$A$2:$J$257,HEX2DEC($A3)*16+HEX2DEC(B$1)+1,2)&amp;CHAR(10)&amp;INDEX(OpCode!$A$2:$J$257,HEX2DEC($A3)*16+HEX2DEC(B$1)+1,3))</f>
        <v xml:space="preserve">ARHL
</v>
      </c>
      <c r="C3" s="15" t="str">
        <f>TRIM(INDEX(OpCode!$A$2:$J$257,HEX2DEC($A3)*16+HEX2DEC(C$1)+1,2)&amp;CHAR(10)&amp;INDEX(OpCode!$A$2:$J$257,HEX2DEC($A3)*16+HEX2DEC(C$1)+1,3))</f>
        <v>LXI
D,d16</v>
      </c>
      <c r="D3" s="15" t="str">
        <f>TRIM(INDEX(OpCode!$A$2:$J$257,HEX2DEC($A3)*16+HEX2DEC(D$1)+1,2)&amp;CHAR(10)&amp;INDEX(OpCode!$A$2:$J$257,HEX2DEC($A3)*16+HEX2DEC(D$1)+1,3))</f>
        <v>STAX
D</v>
      </c>
      <c r="E3" s="15" t="str">
        <f>TRIM(INDEX(OpCode!$A$2:$J$257,HEX2DEC($A3)*16+HEX2DEC(E$1)+1,2)&amp;CHAR(10)&amp;INDEX(OpCode!$A$2:$J$257,HEX2DEC($A3)*16+HEX2DEC(E$1)+1,3))</f>
        <v>INX
D</v>
      </c>
      <c r="F3" s="15" t="str">
        <f>TRIM(INDEX(OpCode!$A$2:$J$257,HEX2DEC($A3)*16+HEX2DEC(F$1)+1,2)&amp;CHAR(10)&amp;INDEX(OpCode!$A$2:$J$257,HEX2DEC($A3)*16+HEX2DEC(F$1)+1,3))</f>
        <v>INR
D</v>
      </c>
      <c r="G3" s="15" t="str">
        <f>TRIM(INDEX(OpCode!$A$2:$J$257,HEX2DEC($A3)*16+HEX2DEC(G$1)+1,2)&amp;CHAR(10)&amp;INDEX(OpCode!$A$2:$J$257,HEX2DEC($A3)*16+HEX2DEC(G$1)+1,3))</f>
        <v>DCR
D</v>
      </c>
      <c r="H3" s="15" t="str">
        <f>TRIM(INDEX(OpCode!$A$2:$J$257,HEX2DEC($A3)*16+HEX2DEC(H$1)+1,2)&amp;CHAR(10)&amp;INDEX(OpCode!$A$2:$J$257,HEX2DEC($A3)*16+HEX2DEC(H$1)+1,3))</f>
        <v>MVI
D,d8</v>
      </c>
      <c r="I3" s="15" t="str">
        <f>TRIM(INDEX(OpCode!$A$2:$J$257,HEX2DEC($A3)*16+HEX2DEC(I$1)+1,2)&amp;CHAR(10)&amp;INDEX(OpCode!$A$2:$J$257,HEX2DEC($A3)*16+HEX2DEC(I$1)+1,3))</f>
        <v xml:space="preserve">RAL
</v>
      </c>
      <c r="J3" s="15" t="str">
        <f>TRIM(INDEX(OpCode!$A$2:$J$257,HEX2DEC($A3)*16+HEX2DEC(J$1)+1,2)&amp;CHAR(10)&amp;INDEX(OpCode!$A$2:$J$257,HEX2DEC($A3)*16+HEX2DEC(J$1)+1,3))</f>
        <v xml:space="preserve">RDEL
</v>
      </c>
      <c r="K3" s="15" t="str">
        <f>TRIM(INDEX(OpCode!$A$2:$J$257,HEX2DEC($A3)*16+HEX2DEC(K$1)+1,2)&amp;CHAR(10)&amp;INDEX(OpCode!$A$2:$J$257,HEX2DEC($A3)*16+HEX2DEC(K$1)+1,3))</f>
        <v>DAD
D</v>
      </c>
      <c r="L3" s="15" t="str">
        <f>TRIM(INDEX(OpCode!$A$2:$J$257,HEX2DEC($A3)*16+HEX2DEC(L$1)+1,2)&amp;CHAR(10)&amp;INDEX(OpCode!$A$2:$J$257,HEX2DEC($A3)*16+HEX2DEC(L$1)+1,3))</f>
        <v>LDAX
D</v>
      </c>
      <c r="M3" s="15" t="str">
        <f>TRIM(INDEX(OpCode!$A$2:$J$257,HEX2DEC($A3)*16+HEX2DEC(M$1)+1,2)&amp;CHAR(10)&amp;INDEX(OpCode!$A$2:$J$257,HEX2DEC($A3)*16+HEX2DEC(M$1)+1,3))</f>
        <v>DCX
D</v>
      </c>
      <c r="N3" s="15" t="str">
        <f>TRIM(INDEX(OpCode!$A$2:$J$257,HEX2DEC($A3)*16+HEX2DEC(N$1)+1,2)&amp;CHAR(10)&amp;INDEX(OpCode!$A$2:$J$257,HEX2DEC($A3)*16+HEX2DEC(N$1)+1,3))</f>
        <v>INR
E</v>
      </c>
      <c r="O3" s="15" t="str">
        <f>TRIM(INDEX(OpCode!$A$2:$J$257,HEX2DEC($A3)*16+HEX2DEC(O$1)+1,2)&amp;CHAR(10)&amp;INDEX(OpCode!$A$2:$J$257,HEX2DEC($A3)*16+HEX2DEC(O$1)+1,3))</f>
        <v>DCR
E</v>
      </c>
      <c r="P3" s="15" t="str">
        <f>TRIM(INDEX(OpCode!$A$2:$J$257,HEX2DEC($A3)*16+HEX2DEC(P$1)+1,2)&amp;CHAR(10)&amp;INDEX(OpCode!$A$2:$J$257,HEX2DEC($A3)*16+HEX2DEC(P$1)+1,3))</f>
        <v>MVI
E,d8</v>
      </c>
      <c r="Q3" s="15" t="str">
        <f>TRIM(INDEX(OpCode!$A$2:$J$257,HEX2DEC($A3)*16+HEX2DEC(Q$1)+1,2)&amp;CHAR(10)&amp;INDEX(OpCode!$A$2:$J$257,HEX2DEC($A3)*16+HEX2DEC(Q$1)+1,3))</f>
        <v xml:space="preserve">RAR
</v>
      </c>
    </row>
    <row r="4" spans="1:17" ht="27" x14ac:dyDescent="0.25">
      <c r="A4" s="17">
        <v>2</v>
      </c>
      <c r="B4" s="15" t="str">
        <f>TRIM(INDEX(OpCode!$A$2:$J$257,HEX2DEC($A4)*16+HEX2DEC(B$1)+1,2)&amp;CHAR(10)&amp;INDEX(OpCode!$A$2:$J$257,HEX2DEC($A4)*16+HEX2DEC(B$1)+1,3))</f>
        <v xml:space="preserve">RIM
</v>
      </c>
      <c r="C4" s="15" t="str">
        <f>TRIM(INDEX(OpCode!$A$2:$J$257,HEX2DEC($A4)*16+HEX2DEC(C$1)+1,2)&amp;CHAR(10)&amp;INDEX(OpCode!$A$2:$J$257,HEX2DEC($A4)*16+HEX2DEC(C$1)+1,3))</f>
        <v>LXI
H,d16</v>
      </c>
      <c r="D4" s="15" t="str">
        <f>TRIM(INDEX(OpCode!$A$2:$J$257,HEX2DEC($A4)*16+HEX2DEC(D$1)+1,2)&amp;CHAR(10)&amp;INDEX(OpCode!$A$2:$J$257,HEX2DEC($A4)*16+HEX2DEC(D$1)+1,3))</f>
        <v>SHLD
a16</v>
      </c>
      <c r="E4" s="15" t="str">
        <f>TRIM(INDEX(OpCode!$A$2:$J$257,HEX2DEC($A4)*16+HEX2DEC(E$1)+1,2)&amp;CHAR(10)&amp;INDEX(OpCode!$A$2:$J$257,HEX2DEC($A4)*16+HEX2DEC(E$1)+1,3))</f>
        <v>INX
H</v>
      </c>
      <c r="F4" s="15" t="str">
        <f>TRIM(INDEX(OpCode!$A$2:$J$257,HEX2DEC($A4)*16+HEX2DEC(F$1)+1,2)&amp;CHAR(10)&amp;INDEX(OpCode!$A$2:$J$257,HEX2DEC($A4)*16+HEX2DEC(F$1)+1,3))</f>
        <v>INR
H</v>
      </c>
      <c r="G4" s="15" t="str">
        <f>TRIM(INDEX(OpCode!$A$2:$J$257,HEX2DEC($A4)*16+HEX2DEC(G$1)+1,2)&amp;CHAR(10)&amp;INDEX(OpCode!$A$2:$J$257,HEX2DEC($A4)*16+HEX2DEC(G$1)+1,3))</f>
        <v>DCR
H</v>
      </c>
      <c r="H4" s="15" t="str">
        <f>TRIM(INDEX(OpCode!$A$2:$J$257,HEX2DEC($A4)*16+HEX2DEC(H$1)+1,2)&amp;CHAR(10)&amp;INDEX(OpCode!$A$2:$J$257,HEX2DEC($A4)*16+HEX2DEC(H$1)+1,3))</f>
        <v>MVI
H,d8</v>
      </c>
      <c r="I4" s="15" t="str">
        <f>TRIM(INDEX(OpCode!$A$2:$J$257,HEX2DEC($A4)*16+HEX2DEC(I$1)+1,2)&amp;CHAR(10)&amp;INDEX(OpCode!$A$2:$J$257,HEX2DEC($A4)*16+HEX2DEC(I$1)+1,3))</f>
        <v xml:space="preserve">DAA
</v>
      </c>
      <c r="J4" s="15" t="str">
        <f>TRIM(INDEX(OpCode!$A$2:$J$257,HEX2DEC($A4)*16+HEX2DEC(J$1)+1,2)&amp;CHAR(10)&amp;INDEX(OpCode!$A$2:$J$257,HEX2DEC($A4)*16+HEX2DEC(J$1)+1,3))</f>
        <v>LDHI
d8</v>
      </c>
      <c r="K4" s="15" t="str">
        <f>TRIM(INDEX(OpCode!$A$2:$J$257,HEX2DEC($A4)*16+HEX2DEC(K$1)+1,2)&amp;CHAR(10)&amp;INDEX(OpCode!$A$2:$J$257,HEX2DEC($A4)*16+HEX2DEC(K$1)+1,3))</f>
        <v>DAD
H</v>
      </c>
      <c r="L4" s="15" t="str">
        <f>TRIM(INDEX(OpCode!$A$2:$J$257,HEX2DEC($A4)*16+HEX2DEC(L$1)+1,2)&amp;CHAR(10)&amp;INDEX(OpCode!$A$2:$J$257,HEX2DEC($A4)*16+HEX2DEC(L$1)+1,3))</f>
        <v>LHLD
a16</v>
      </c>
      <c r="M4" s="15" t="str">
        <f>TRIM(INDEX(OpCode!$A$2:$J$257,HEX2DEC($A4)*16+HEX2DEC(M$1)+1,2)&amp;CHAR(10)&amp;INDEX(OpCode!$A$2:$J$257,HEX2DEC($A4)*16+HEX2DEC(M$1)+1,3))</f>
        <v>DCX
H</v>
      </c>
      <c r="N4" s="15" t="str">
        <f>TRIM(INDEX(OpCode!$A$2:$J$257,HEX2DEC($A4)*16+HEX2DEC(N$1)+1,2)&amp;CHAR(10)&amp;INDEX(OpCode!$A$2:$J$257,HEX2DEC($A4)*16+HEX2DEC(N$1)+1,3))</f>
        <v>INR
L</v>
      </c>
      <c r="O4" s="15" t="str">
        <f>TRIM(INDEX(OpCode!$A$2:$J$257,HEX2DEC($A4)*16+HEX2DEC(O$1)+1,2)&amp;CHAR(10)&amp;INDEX(OpCode!$A$2:$J$257,HEX2DEC($A4)*16+HEX2DEC(O$1)+1,3))</f>
        <v>DCR
L</v>
      </c>
      <c r="P4" s="15" t="str">
        <f>TRIM(INDEX(OpCode!$A$2:$J$257,HEX2DEC($A4)*16+HEX2DEC(P$1)+1,2)&amp;CHAR(10)&amp;INDEX(OpCode!$A$2:$J$257,HEX2DEC($A4)*16+HEX2DEC(P$1)+1,3))</f>
        <v>MVI
L,d8</v>
      </c>
      <c r="Q4" s="15" t="str">
        <f>TRIM(INDEX(OpCode!$A$2:$J$257,HEX2DEC($A4)*16+HEX2DEC(Q$1)+1,2)&amp;CHAR(10)&amp;INDEX(OpCode!$A$2:$J$257,HEX2DEC($A4)*16+HEX2DEC(Q$1)+1,3))</f>
        <v xml:space="preserve">CMA
</v>
      </c>
    </row>
    <row r="5" spans="1:17" ht="40.5" x14ac:dyDescent="0.25">
      <c r="A5" s="17">
        <v>3</v>
      </c>
      <c r="B5" s="15" t="str">
        <f>TRIM(INDEX(OpCode!$A$2:$J$257,HEX2DEC($A5)*16+HEX2DEC(B$1)+1,2)&amp;CHAR(10)&amp;INDEX(OpCode!$A$2:$J$257,HEX2DEC($A5)*16+HEX2DEC(B$1)+1,3))</f>
        <v xml:space="preserve">SIM
</v>
      </c>
      <c r="C5" s="15" t="str">
        <f>TRIM(INDEX(OpCode!$A$2:$J$257,HEX2DEC($A5)*16+HEX2DEC(C$1)+1,2)&amp;CHAR(10)&amp;INDEX(OpCode!$A$2:$J$257,HEX2DEC($A5)*16+HEX2DEC(C$1)+1,3))</f>
        <v>LXI
SP,d16</v>
      </c>
      <c r="D5" s="15" t="str">
        <f>TRIM(INDEX(OpCode!$A$2:$J$257,HEX2DEC($A5)*16+HEX2DEC(D$1)+1,2)&amp;CHAR(10)&amp;INDEX(OpCode!$A$2:$J$257,HEX2DEC($A5)*16+HEX2DEC(D$1)+1,3))</f>
        <v>STA
a16</v>
      </c>
      <c r="E5" s="15" t="str">
        <f>TRIM(INDEX(OpCode!$A$2:$J$257,HEX2DEC($A5)*16+HEX2DEC(E$1)+1,2)&amp;CHAR(10)&amp;INDEX(OpCode!$A$2:$J$257,HEX2DEC($A5)*16+HEX2DEC(E$1)+1,3))</f>
        <v>INX
SP</v>
      </c>
      <c r="F5" s="15" t="str">
        <f>TRIM(INDEX(OpCode!$A$2:$J$257,HEX2DEC($A5)*16+HEX2DEC(F$1)+1,2)&amp;CHAR(10)&amp;INDEX(OpCode!$A$2:$J$257,HEX2DEC($A5)*16+HEX2DEC(F$1)+1,3))</f>
        <v>INR
M</v>
      </c>
      <c r="G5" s="15" t="str">
        <f>TRIM(INDEX(OpCode!$A$2:$J$257,HEX2DEC($A5)*16+HEX2DEC(G$1)+1,2)&amp;CHAR(10)&amp;INDEX(OpCode!$A$2:$J$257,HEX2DEC($A5)*16+HEX2DEC(G$1)+1,3))</f>
        <v>DCR
M</v>
      </c>
      <c r="H5" s="15" t="str">
        <f>TRIM(INDEX(OpCode!$A$2:$J$257,HEX2DEC($A5)*16+HEX2DEC(H$1)+1,2)&amp;CHAR(10)&amp;INDEX(OpCode!$A$2:$J$257,HEX2DEC($A5)*16+HEX2DEC(H$1)+1,3))</f>
        <v>MVI
M,d8</v>
      </c>
      <c r="I5" s="15" t="str">
        <f>TRIM(INDEX(OpCode!$A$2:$J$257,HEX2DEC($A5)*16+HEX2DEC(I$1)+1,2)&amp;CHAR(10)&amp;INDEX(OpCode!$A$2:$J$257,HEX2DEC($A5)*16+HEX2DEC(I$1)+1,3))</f>
        <v xml:space="preserve">STC
</v>
      </c>
      <c r="J5" s="15" t="str">
        <f>TRIM(INDEX(OpCode!$A$2:$J$257,HEX2DEC($A5)*16+HEX2DEC(J$1)+1,2)&amp;CHAR(10)&amp;INDEX(OpCode!$A$2:$J$257,HEX2DEC($A5)*16+HEX2DEC(J$1)+1,3))</f>
        <v>LDSI
d8</v>
      </c>
      <c r="K5" s="15" t="str">
        <f>TRIM(INDEX(OpCode!$A$2:$J$257,HEX2DEC($A5)*16+HEX2DEC(K$1)+1,2)&amp;CHAR(10)&amp;INDEX(OpCode!$A$2:$J$257,HEX2DEC($A5)*16+HEX2DEC(K$1)+1,3))</f>
        <v>DAD
SP</v>
      </c>
      <c r="L5" s="15" t="str">
        <f>TRIM(INDEX(OpCode!$A$2:$J$257,HEX2DEC($A5)*16+HEX2DEC(L$1)+1,2)&amp;CHAR(10)&amp;INDEX(OpCode!$A$2:$J$257,HEX2DEC($A5)*16+HEX2DEC(L$1)+1,3))</f>
        <v>LDA
a16</v>
      </c>
      <c r="M5" s="15" t="str">
        <f>TRIM(INDEX(OpCode!$A$2:$J$257,HEX2DEC($A5)*16+HEX2DEC(M$1)+1,2)&amp;CHAR(10)&amp;INDEX(OpCode!$A$2:$J$257,HEX2DEC($A5)*16+HEX2DEC(M$1)+1,3))</f>
        <v>DCX
SP</v>
      </c>
      <c r="N5" s="15" t="str">
        <f>TRIM(INDEX(OpCode!$A$2:$J$257,HEX2DEC($A5)*16+HEX2DEC(N$1)+1,2)&amp;CHAR(10)&amp;INDEX(OpCode!$A$2:$J$257,HEX2DEC($A5)*16+HEX2DEC(N$1)+1,3))</f>
        <v>INR
A</v>
      </c>
      <c r="O5" s="15" t="str">
        <f>TRIM(INDEX(OpCode!$A$2:$J$257,HEX2DEC($A5)*16+HEX2DEC(O$1)+1,2)&amp;CHAR(10)&amp;INDEX(OpCode!$A$2:$J$257,HEX2DEC($A5)*16+HEX2DEC(O$1)+1,3))</f>
        <v>DCR
A</v>
      </c>
      <c r="P5" s="15" t="str">
        <f>TRIM(INDEX(OpCode!$A$2:$J$257,HEX2DEC($A5)*16+HEX2DEC(P$1)+1,2)&amp;CHAR(10)&amp;INDEX(OpCode!$A$2:$J$257,HEX2DEC($A5)*16+HEX2DEC(P$1)+1,3))</f>
        <v>MVI
A,d8</v>
      </c>
      <c r="Q5" s="15" t="str">
        <f>TRIM(INDEX(OpCode!$A$2:$J$257,HEX2DEC($A5)*16+HEX2DEC(Q$1)+1,2)&amp;CHAR(10)&amp;INDEX(OpCode!$A$2:$J$257,HEX2DEC($A5)*16+HEX2DEC(Q$1)+1,3))</f>
        <v xml:space="preserve">CMC
</v>
      </c>
    </row>
    <row r="6" spans="1:17" ht="27" x14ac:dyDescent="0.25">
      <c r="A6" s="17">
        <v>4</v>
      </c>
      <c r="B6" s="15" t="str">
        <f>TRIM(INDEX(OpCode!$A$2:$J$257,HEX2DEC($A6)*16+HEX2DEC(B$1)+1,2)&amp;CHAR(10)&amp;INDEX(OpCode!$A$2:$J$257,HEX2DEC($A6)*16+HEX2DEC(B$1)+1,3))</f>
        <v>MOV
B,B</v>
      </c>
      <c r="C6" s="15" t="str">
        <f>TRIM(INDEX(OpCode!$A$2:$J$257,HEX2DEC($A6)*16+HEX2DEC(C$1)+1,2)&amp;CHAR(10)&amp;INDEX(OpCode!$A$2:$J$257,HEX2DEC($A6)*16+HEX2DEC(C$1)+1,3))</f>
        <v>MOV
B,C</v>
      </c>
      <c r="D6" s="15" t="str">
        <f>TRIM(INDEX(OpCode!$A$2:$J$257,HEX2DEC($A6)*16+HEX2DEC(D$1)+1,2)&amp;CHAR(10)&amp;INDEX(OpCode!$A$2:$J$257,HEX2DEC($A6)*16+HEX2DEC(D$1)+1,3))</f>
        <v>MOV
B,D</v>
      </c>
      <c r="E6" s="15" t="str">
        <f>TRIM(INDEX(OpCode!$A$2:$J$257,HEX2DEC($A6)*16+HEX2DEC(E$1)+1,2)&amp;CHAR(10)&amp;INDEX(OpCode!$A$2:$J$257,HEX2DEC($A6)*16+HEX2DEC(E$1)+1,3))</f>
        <v>MOV
B,E</v>
      </c>
      <c r="F6" s="15" t="str">
        <f>TRIM(INDEX(OpCode!$A$2:$J$257,HEX2DEC($A6)*16+HEX2DEC(F$1)+1,2)&amp;CHAR(10)&amp;INDEX(OpCode!$A$2:$J$257,HEX2DEC($A6)*16+HEX2DEC(F$1)+1,3))</f>
        <v>MOV
B,H</v>
      </c>
      <c r="G6" s="15" t="str">
        <f>TRIM(INDEX(OpCode!$A$2:$J$257,HEX2DEC($A6)*16+HEX2DEC(G$1)+1,2)&amp;CHAR(10)&amp;INDEX(OpCode!$A$2:$J$257,HEX2DEC($A6)*16+HEX2DEC(G$1)+1,3))</f>
        <v>MOV
B,L</v>
      </c>
      <c r="H6" s="15" t="str">
        <f>TRIM(INDEX(OpCode!$A$2:$J$257,HEX2DEC($A6)*16+HEX2DEC(H$1)+1,2)&amp;CHAR(10)&amp;INDEX(OpCode!$A$2:$J$257,HEX2DEC($A6)*16+HEX2DEC(H$1)+1,3))</f>
        <v>MOV
B,M</v>
      </c>
      <c r="I6" s="15" t="str">
        <f>TRIM(INDEX(OpCode!$A$2:$J$257,HEX2DEC($A6)*16+HEX2DEC(I$1)+1,2)&amp;CHAR(10)&amp;INDEX(OpCode!$A$2:$J$257,HEX2DEC($A6)*16+HEX2DEC(I$1)+1,3))</f>
        <v>MOV
B,A</v>
      </c>
      <c r="J6" s="15" t="str">
        <f>TRIM(INDEX(OpCode!$A$2:$J$257,HEX2DEC($A6)*16+HEX2DEC(J$1)+1,2)&amp;CHAR(10)&amp;INDEX(OpCode!$A$2:$J$257,HEX2DEC($A6)*16+HEX2DEC(J$1)+1,3))</f>
        <v>MOV
C,B</v>
      </c>
      <c r="K6" s="15" t="str">
        <f>TRIM(INDEX(OpCode!$A$2:$J$257,HEX2DEC($A6)*16+HEX2DEC(K$1)+1,2)&amp;CHAR(10)&amp;INDEX(OpCode!$A$2:$J$257,HEX2DEC($A6)*16+HEX2DEC(K$1)+1,3))</f>
        <v>MOV
C,C</v>
      </c>
      <c r="L6" s="15" t="str">
        <f>TRIM(INDEX(OpCode!$A$2:$J$257,HEX2DEC($A6)*16+HEX2DEC(L$1)+1,2)&amp;CHAR(10)&amp;INDEX(OpCode!$A$2:$J$257,HEX2DEC($A6)*16+HEX2DEC(L$1)+1,3))</f>
        <v>MOV
C,D</v>
      </c>
      <c r="M6" s="15" t="str">
        <f>TRIM(INDEX(OpCode!$A$2:$J$257,HEX2DEC($A6)*16+HEX2DEC(M$1)+1,2)&amp;CHAR(10)&amp;INDEX(OpCode!$A$2:$J$257,HEX2DEC($A6)*16+HEX2DEC(M$1)+1,3))</f>
        <v>MOV
C,E</v>
      </c>
      <c r="N6" s="15" t="str">
        <f>TRIM(INDEX(OpCode!$A$2:$J$257,HEX2DEC($A6)*16+HEX2DEC(N$1)+1,2)&amp;CHAR(10)&amp;INDEX(OpCode!$A$2:$J$257,HEX2DEC($A6)*16+HEX2DEC(N$1)+1,3))</f>
        <v>MOV
C,H</v>
      </c>
      <c r="O6" s="15" t="str">
        <f>TRIM(INDEX(OpCode!$A$2:$J$257,HEX2DEC($A6)*16+HEX2DEC(O$1)+1,2)&amp;CHAR(10)&amp;INDEX(OpCode!$A$2:$J$257,HEX2DEC($A6)*16+HEX2DEC(O$1)+1,3))</f>
        <v>MOV
C,L</v>
      </c>
      <c r="P6" s="15" t="str">
        <f>TRIM(INDEX(OpCode!$A$2:$J$257,HEX2DEC($A6)*16+HEX2DEC(P$1)+1,2)&amp;CHAR(10)&amp;INDEX(OpCode!$A$2:$J$257,HEX2DEC($A6)*16+HEX2DEC(P$1)+1,3))</f>
        <v>MOV
C,M</v>
      </c>
      <c r="Q6" s="15" t="str">
        <f>TRIM(INDEX(OpCode!$A$2:$J$257,HEX2DEC($A6)*16+HEX2DEC(Q$1)+1,2)&amp;CHAR(10)&amp;INDEX(OpCode!$A$2:$J$257,HEX2DEC($A6)*16+HEX2DEC(Q$1)+1,3))</f>
        <v>MOV
C,A</v>
      </c>
    </row>
    <row r="7" spans="1:17" ht="40.5" x14ac:dyDescent="0.25">
      <c r="A7" s="17">
        <v>5</v>
      </c>
      <c r="B7" s="15" t="str">
        <f>TRIM(INDEX(OpCode!$A$2:$J$257,HEX2DEC($A7)*16+HEX2DEC(B$1)+1,2)&amp;CHAR(10)&amp;INDEX(OpCode!$A$2:$J$257,HEX2DEC($A7)*16+HEX2DEC(B$1)+1,3))</f>
        <v>MOV
D,B</v>
      </c>
      <c r="C7" s="15" t="str">
        <f>TRIM(INDEX(OpCode!$A$2:$J$257,HEX2DEC($A7)*16+HEX2DEC(C$1)+1,2)&amp;CHAR(10)&amp;INDEX(OpCode!$A$2:$J$257,HEX2DEC($A7)*16+HEX2DEC(C$1)+1,3))</f>
        <v>MOV
D,C</v>
      </c>
      <c r="D7" s="15" t="str">
        <f>TRIM(INDEX(OpCode!$A$2:$J$257,HEX2DEC($A7)*16+HEX2DEC(D$1)+1,2)&amp;CHAR(10)&amp;INDEX(OpCode!$A$2:$J$257,HEX2DEC($A7)*16+HEX2DEC(D$1)+1,3))</f>
        <v>MOV
D,D</v>
      </c>
      <c r="E7" s="15" t="str">
        <f>TRIM(INDEX(OpCode!$A$2:$J$257,HEX2DEC($A7)*16+HEX2DEC(E$1)+1,2)&amp;CHAR(10)&amp;INDEX(OpCode!$A$2:$J$257,HEX2DEC($A7)*16+HEX2DEC(E$1)+1,3))</f>
        <v>MOV
D,E</v>
      </c>
      <c r="F7" s="15" t="str">
        <f>TRIM(INDEX(OpCode!$A$2:$J$257,HEX2DEC($A7)*16+HEX2DEC(F$1)+1,2)&amp;CHAR(10)&amp;INDEX(OpCode!$A$2:$J$257,HEX2DEC($A7)*16+HEX2DEC(F$1)+1,3))</f>
        <v>MOV
D,H</v>
      </c>
      <c r="G7" s="15" t="str">
        <f>TRIM(INDEX(OpCode!$A$2:$J$257,HEX2DEC($A7)*16+HEX2DEC(G$1)+1,2)&amp;CHAR(10)&amp;INDEX(OpCode!$A$2:$J$257,HEX2DEC($A7)*16+HEX2DEC(G$1)+1,3))</f>
        <v>MOV
D,L</v>
      </c>
      <c r="H7" s="15" t="str">
        <f>TRIM(INDEX(OpCode!$A$2:$J$257,HEX2DEC($A7)*16+HEX2DEC(H$1)+1,2)&amp;CHAR(10)&amp;INDEX(OpCode!$A$2:$J$257,HEX2DEC($A7)*16+HEX2DEC(H$1)+1,3))</f>
        <v>MOV
D,M</v>
      </c>
      <c r="I7" s="15" t="str">
        <f>TRIM(INDEX(OpCode!$A$2:$J$257,HEX2DEC($A7)*16+HEX2DEC(I$1)+1,2)&amp;CHAR(10)&amp;INDEX(OpCode!$A$2:$J$257,HEX2DEC($A7)*16+HEX2DEC(I$1)+1,3))</f>
        <v>MOV
D,A</v>
      </c>
      <c r="J7" s="15" t="str">
        <f>TRIM(INDEX(OpCode!$A$2:$J$257,HEX2DEC($A7)*16+HEX2DEC(J$1)+1,2)&amp;CHAR(10)&amp;INDEX(OpCode!$A$2:$J$257,HEX2DEC($A7)*16+HEX2DEC(J$1)+1,3))</f>
        <v>MOV
E,B</v>
      </c>
      <c r="K7" s="15" t="str">
        <f>TRIM(INDEX(OpCode!$A$2:$J$257,HEX2DEC($A7)*16+HEX2DEC(K$1)+1,2)&amp;CHAR(10)&amp;INDEX(OpCode!$A$2:$J$257,HEX2DEC($A7)*16+HEX2DEC(K$1)+1,3))</f>
        <v>MOV
E,C</v>
      </c>
      <c r="L7" s="15" t="str">
        <f>TRIM(INDEX(OpCode!$A$2:$J$257,HEX2DEC($A7)*16+HEX2DEC(L$1)+1,2)&amp;CHAR(10)&amp;INDEX(OpCode!$A$2:$J$257,HEX2DEC($A7)*16+HEX2DEC(L$1)+1,3))</f>
        <v>MOV
E,D</v>
      </c>
      <c r="M7" s="15" t="str">
        <f>TRIM(INDEX(OpCode!$A$2:$J$257,HEX2DEC($A7)*16+HEX2DEC(M$1)+1,2)&amp;CHAR(10)&amp;INDEX(OpCode!$A$2:$J$257,HEX2DEC($A7)*16+HEX2DEC(M$1)+1,3))</f>
        <v>MOV
E,E</v>
      </c>
      <c r="N7" s="15" t="str">
        <f>TRIM(INDEX(OpCode!$A$2:$J$257,HEX2DEC($A7)*16+HEX2DEC(N$1)+1,2)&amp;CHAR(10)&amp;INDEX(OpCode!$A$2:$J$257,HEX2DEC($A7)*16+HEX2DEC(N$1)+1,3))</f>
        <v>MOV
E,H</v>
      </c>
      <c r="O7" s="15" t="str">
        <f>TRIM(INDEX(OpCode!$A$2:$J$257,HEX2DEC($A7)*16+HEX2DEC(O$1)+1,2)&amp;CHAR(10)&amp;INDEX(OpCode!$A$2:$J$257,HEX2DEC($A7)*16+HEX2DEC(O$1)+1,3))</f>
        <v>MOV
E,L</v>
      </c>
      <c r="P7" s="15" t="str">
        <f>TRIM(INDEX(OpCode!$A$2:$J$257,HEX2DEC($A7)*16+HEX2DEC(P$1)+1,2)&amp;CHAR(10)&amp;INDEX(OpCode!$A$2:$J$257,HEX2DEC($A7)*16+HEX2DEC(P$1)+1,3))</f>
        <v>MOV
E,M</v>
      </c>
      <c r="Q7" s="15" t="str">
        <f>TRIM(INDEX(OpCode!$A$2:$J$257,HEX2DEC($A7)*16+HEX2DEC(Q$1)+1,2)&amp;CHAR(10)&amp;INDEX(OpCode!$A$2:$J$257,HEX2DEC($A7)*16+HEX2DEC(Q$1)+1,3))</f>
        <v>MOV
E,A</v>
      </c>
    </row>
    <row r="8" spans="1:17" ht="27" x14ac:dyDescent="0.25">
      <c r="A8" s="17">
        <v>6</v>
      </c>
      <c r="B8" s="15" t="str">
        <f>TRIM(INDEX(OpCode!$A$2:$J$257,HEX2DEC($A8)*16+HEX2DEC(B$1)+1,2)&amp;CHAR(10)&amp;INDEX(OpCode!$A$2:$J$257,HEX2DEC($A8)*16+HEX2DEC(B$1)+1,3))</f>
        <v>MOV
H,B</v>
      </c>
      <c r="C8" s="15" t="str">
        <f>TRIM(INDEX(OpCode!$A$2:$J$257,HEX2DEC($A8)*16+HEX2DEC(C$1)+1,2)&amp;CHAR(10)&amp;INDEX(OpCode!$A$2:$J$257,HEX2DEC($A8)*16+HEX2DEC(C$1)+1,3))</f>
        <v>MOV
H,C</v>
      </c>
      <c r="D8" s="15" t="str">
        <f>TRIM(INDEX(OpCode!$A$2:$J$257,HEX2DEC($A8)*16+HEX2DEC(D$1)+1,2)&amp;CHAR(10)&amp;INDEX(OpCode!$A$2:$J$257,HEX2DEC($A8)*16+HEX2DEC(D$1)+1,3))</f>
        <v>MOV
H,D</v>
      </c>
      <c r="E8" s="15" t="str">
        <f>TRIM(INDEX(OpCode!$A$2:$J$257,HEX2DEC($A8)*16+HEX2DEC(E$1)+1,2)&amp;CHAR(10)&amp;INDEX(OpCode!$A$2:$J$257,HEX2DEC($A8)*16+HEX2DEC(E$1)+1,3))</f>
        <v>MOV
H,E</v>
      </c>
      <c r="F8" s="15" t="str">
        <f>TRIM(INDEX(OpCode!$A$2:$J$257,HEX2DEC($A8)*16+HEX2DEC(F$1)+1,2)&amp;CHAR(10)&amp;INDEX(OpCode!$A$2:$J$257,HEX2DEC($A8)*16+HEX2DEC(F$1)+1,3))</f>
        <v>MOV
H,H</v>
      </c>
      <c r="G8" s="15" t="str">
        <f>TRIM(INDEX(OpCode!$A$2:$J$257,HEX2DEC($A8)*16+HEX2DEC(G$1)+1,2)&amp;CHAR(10)&amp;INDEX(OpCode!$A$2:$J$257,HEX2DEC($A8)*16+HEX2DEC(G$1)+1,3))</f>
        <v>MOV
H,L</v>
      </c>
      <c r="H8" s="15" t="str">
        <f>TRIM(INDEX(OpCode!$A$2:$J$257,HEX2DEC($A8)*16+HEX2DEC(H$1)+1,2)&amp;CHAR(10)&amp;INDEX(OpCode!$A$2:$J$257,HEX2DEC($A8)*16+HEX2DEC(H$1)+1,3))</f>
        <v>MOV
H,M</v>
      </c>
      <c r="I8" s="15" t="str">
        <f>TRIM(INDEX(OpCode!$A$2:$J$257,HEX2DEC($A8)*16+HEX2DEC(I$1)+1,2)&amp;CHAR(10)&amp;INDEX(OpCode!$A$2:$J$257,HEX2DEC($A8)*16+HEX2DEC(I$1)+1,3))</f>
        <v>MOV
H,A</v>
      </c>
      <c r="J8" s="15" t="str">
        <f>TRIM(INDEX(OpCode!$A$2:$J$257,HEX2DEC($A8)*16+HEX2DEC(J$1)+1,2)&amp;CHAR(10)&amp;INDEX(OpCode!$A$2:$J$257,HEX2DEC($A8)*16+HEX2DEC(J$1)+1,3))</f>
        <v>MOV
L,B</v>
      </c>
      <c r="K8" s="15" t="str">
        <f>TRIM(INDEX(OpCode!$A$2:$J$257,HEX2DEC($A8)*16+HEX2DEC(K$1)+1,2)&amp;CHAR(10)&amp;INDEX(OpCode!$A$2:$J$257,HEX2DEC($A8)*16+HEX2DEC(K$1)+1,3))</f>
        <v>MOV
L,C</v>
      </c>
      <c r="L8" s="15" t="str">
        <f>TRIM(INDEX(OpCode!$A$2:$J$257,HEX2DEC($A8)*16+HEX2DEC(L$1)+1,2)&amp;CHAR(10)&amp;INDEX(OpCode!$A$2:$J$257,HEX2DEC($A8)*16+HEX2DEC(L$1)+1,3))</f>
        <v>MOV
L,D</v>
      </c>
      <c r="M8" s="15" t="str">
        <f>TRIM(INDEX(OpCode!$A$2:$J$257,HEX2DEC($A8)*16+HEX2DEC(M$1)+1,2)&amp;CHAR(10)&amp;INDEX(OpCode!$A$2:$J$257,HEX2DEC($A8)*16+HEX2DEC(M$1)+1,3))</f>
        <v>MOV
L,E</v>
      </c>
      <c r="N8" s="15" t="str">
        <f>TRIM(INDEX(OpCode!$A$2:$J$257,HEX2DEC($A8)*16+HEX2DEC(N$1)+1,2)&amp;CHAR(10)&amp;INDEX(OpCode!$A$2:$J$257,HEX2DEC($A8)*16+HEX2DEC(N$1)+1,3))</f>
        <v>MOV
L,H</v>
      </c>
      <c r="O8" s="15" t="str">
        <f>TRIM(INDEX(OpCode!$A$2:$J$257,HEX2DEC($A8)*16+HEX2DEC(O$1)+1,2)&amp;CHAR(10)&amp;INDEX(OpCode!$A$2:$J$257,HEX2DEC($A8)*16+HEX2DEC(O$1)+1,3))</f>
        <v>MOV
L,L</v>
      </c>
      <c r="P8" s="15" t="str">
        <f>TRIM(INDEX(OpCode!$A$2:$J$257,HEX2DEC($A8)*16+HEX2DEC(P$1)+1,2)&amp;CHAR(10)&amp;INDEX(OpCode!$A$2:$J$257,HEX2DEC($A8)*16+HEX2DEC(P$1)+1,3))</f>
        <v>MOV
L,M</v>
      </c>
      <c r="Q8" s="15" t="str">
        <f>TRIM(INDEX(OpCode!$A$2:$J$257,HEX2DEC($A8)*16+HEX2DEC(Q$1)+1,2)&amp;CHAR(10)&amp;INDEX(OpCode!$A$2:$J$257,HEX2DEC($A8)*16+HEX2DEC(Q$1)+1,3))</f>
        <v>MOV
L,A</v>
      </c>
    </row>
    <row r="9" spans="1:17" ht="40.5" x14ac:dyDescent="0.25">
      <c r="A9" s="17">
        <v>7</v>
      </c>
      <c r="B9" s="15" t="str">
        <f>TRIM(INDEX(OpCode!$A$2:$J$257,HEX2DEC($A9)*16+HEX2DEC(B$1)+1,2)&amp;CHAR(10)&amp;INDEX(OpCode!$A$2:$J$257,HEX2DEC($A9)*16+HEX2DEC(B$1)+1,3))</f>
        <v>MOV
M,B</v>
      </c>
      <c r="C9" s="15" t="str">
        <f>TRIM(INDEX(OpCode!$A$2:$J$257,HEX2DEC($A9)*16+HEX2DEC(C$1)+1,2)&amp;CHAR(10)&amp;INDEX(OpCode!$A$2:$J$257,HEX2DEC($A9)*16+HEX2DEC(C$1)+1,3))</f>
        <v>MOV
M,C</v>
      </c>
      <c r="D9" s="15" t="str">
        <f>TRIM(INDEX(OpCode!$A$2:$J$257,HEX2DEC($A9)*16+HEX2DEC(D$1)+1,2)&amp;CHAR(10)&amp;INDEX(OpCode!$A$2:$J$257,HEX2DEC($A9)*16+HEX2DEC(D$1)+1,3))</f>
        <v>MOV
M,D</v>
      </c>
      <c r="E9" s="15" t="str">
        <f>TRIM(INDEX(OpCode!$A$2:$J$257,HEX2DEC($A9)*16+HEX2DEC(E$1)+1,2)&amp;CHAR(10)&amp;INDEX(OpCode!$A$2:$J$257,HEX2DEC($A9)*16+HEX2DEC(E$1)+1,3))</f>
        <v>MOV
M,E</v>
      </c>
      <c r="F9" s="15" t="str">
        <f>TRIM(INDEX(OpCode!$A$2:$J$257,HEX2DEC($A9)*16+HEX2DEC(F$1)+1,2)&amp;CHAR(10)&amp;INDEX(OpCode!$A$2:$J$257,HEX2DEC($A9)*16+HEX2DEC(F$1)+1,3))</f>
        <v>MOV
M,H</v>
      </c>
      <c r="G9" s="15" t="str">
        <f>TRIM(INDEX(OpCode!$A$2:$J$257,HEX2DEC($A9)*16+HEX2DEC(G$1)+1,2)&amp;CHAR(10)&amp;INDEX(OpCode!$A$2:$J$257,HEX2DEC($A9)*16+HEX2DEC(G$1)+1,3))</f>
        <v>MOV
M,L</v>
      </c>
      <c r="H9" s="15" t="str">
        <f>TRIM(INDEX(OpCode!$A$2:$J$257,HEX2DEC($A9)*16+HEX2DEC(H$1)+1,2)&amp;CHAR(10)&amp;INDEX(OpCode!$A$2:$J$257,HEX2DEC($A9)*16+HEX2DEC(H$1)+1,3))</f>
        <v xml:space="preserve">HLT
</v>
      </c>
      <c r="I9" s="15" t="str">
        <f>TRIM(INDEX(OpCode!$A$2:$J$257,HEX2DEC($A9)*16+HEX2DEC(I$1)+1,2)&amp;CHAR(10)&amp;INDEX(OpCode!$A$2:$J$257,HEX2DEC($A9)*16+HEX2DEC(I$1)+1,3))</f>
        <v>MOV
M,A</v>
      </c>
      <c r="J9" s="15" t="str">
        <f>TRIM(INDEX(OpCode!$A$2:$J$257,HEX2DEC($A9)*16+HEX2DEC(J$1)+1,2)&amp;CHAR(10)&amp;INDEX(OpCode!$A$2:$J$257,HEX2DEC($A9)*16+HEX2DEC(J$1)+1,3))</f>
        <v>MOV
A,B</v>
      </c>
      <c r="K9" s="15" t="str">
        <f>TRIM(INDEX(OpCode!$A$2:$J$257,HEX2DEC($A9)*16+HEX2DEC(K$1)+1,2)&amp;CHAR(10)&amp;INDEX(OpCode!$A$2:$J$257,HEX2DEC($A9)*16+HEX2DEC(K$1)+1,3))</f>
        <v>MOV
A,C</v>
      </c>
      <c r="L9" s="15" t="str">
        <f>TRIM(INDEX(OpCode!$A$2:$J$257,HEX2DEC($A9)*16+HEX2DEC(L$1)+1,2)&amp;CHAR(10)&amp;INDEX(OpCode!$A$2:$J$257,HEX2DEC($A9)*16+HEX2DEC(L$1)+1,3))</f>
        <v>MOV
A,D</v>
      </c>
      <c r="M9" s="15" t="str">
        <f>TRIM(INDEX(OpCode!$A$2:$J$257,HEX2DEC($A9)*16+HEX2DEC(M$1)+1,2)&amp;CHAR(10)&amp;INDEX(OpCode!$A$2:$J$257,HEX2DEC($A9)*16+HEX2DEC(M$1)+1,3))</f>
        <v>MOV
A,E</v>
      </c>
      <c r="N9" s="15" t="str">
        <f>TRIM(INDEX(OpCode!$A$2:$J$257,HEX2DEC($A9)*16+HEX2DEC(N$1)+1,2)&amp;CHAR(10)&amp;INDEX(OpCode!$A$2:$J$257,HEX2DEC($A9)*16+HEX2DEC(N$1)+1,3))</f>
        <v>MOV
A,H</v>
      </c>
      <c r="O9" s="15" t="str">
        <f>TRIM(INDEX(OpCode!$A$2:$J$257,HEX2DEC($A9)*16+HEX2DEC(O$1)+1,2)&amp;CHAR(10)&amp;INDEX(OpCode!$A$2:$J$257,HEX2DEC($A9)*16+HEX2DEC(O$1)+1,3))</f>
        <v>MOV
A,L</v>
      </c>
      <c r="P9" s="15" t="str">
        <f>TRIM(INDEX(OpCode!$A$2:$J$257,HEX2DEC($A9)*16+HEX2DEC(P$1)+1,2)&amp;CHAR(10)&amp;INDEX(OpCode!$A$2:$J$257,HEX2DEC($A9)*16+HEX2DEC(P$1)+1,3))</f>
        <v>MOV
A,M</v>
      </c>
      <c r="Q9" s="15" t="str">
        <f>TRIM(INDEX(OpCode!$A$2:$J$257,HEX2DEC($A9)*16+HEX2DEC(Q$1)+1,2)&amp;CHAR(10)&amp;INDEX(OpCode!$A$2:$J$257,HEX2DEC($A9)*16+HEX2DEC(Q$1)+1,3))</f>
        <v>MOV
A,A</v>
      </c>
    </row>
    <row r="10" spans="1:17" ht="27" x14ac:dyDescent="0.25">
      <c r="A10" s="17">
        <v>8</v>
      </c>
      <c r="B10" s="15" t="str">
        <f>TRIM(INDEX(OpCode!$A$2:$J$257,HEX2DEC($A10)*16+HEX2DEC(B$1)+1,2)&amp;CHAR(10)&amp;INDEX(OpCode!$A$2:$J$257,HEX2DEC($A10)*16+HEX2DEC(B$1)+1,3))</f>
        <v>ADD
B</v>
      </c>
      <c r="C10" s="15" t="str">
        <f>TRIM(INDEX(OpCode!$A$2:$J$257,HEX2DEC($A10)*16+HEX2DEC(C$1)+1,2)&amp;CHAR(10)&amp;INDEX(OpCode!$A$2:$J$257,HEX2DEC($A10)*16+HEX2DEC(C$1)+1,3))</f>
        <v>ADD
C</v>
      </c>
      <c r="D10" s="15" t="str">
        <f>TRIM(INDEX(OpCode!$A$2:$J$257,HEX2DEC($A10)*16+HEX2DEC(D$1)+1,2)&amp;CHAR(10)&amp;INDEX(OpCode!$A$2:$J$257,HEX2DEC($A10)*16+HEX2DEC(D$1)+1,3))</f>
        <v>ADD
D</v>
      </c>
      <c r="E10" s="15" t="str">
        <f>TRIM(INDEX(OpCode!$A$2:$J$257,HEX2DEC($A10)*16+HEX2DEC(E$1)+1,2)&amp;CHAR(10)&amp;INDEX(OpCode!$A$2:$J$257,HEX2DEC($A10)*16+HEX2DEC(E$1)+1,3))</f>
        <v>ADD
E</v>
      </c>
      <c r="F10" s="15" t="str">
        <f>TRIM(INDEX(OpCode!$A$2:$J$257,HEX2DEC($A10)*16+HEX2DEC(F$1)+1,2)&amp;CHAR(10)&amp;INDEX(OpCode!$A$2:$J$257,HEX2DEC($A10)*16+HEX2DEC(F$1)+1,3))</f>
        <v>ADD
H</v>
      </c>
      <c r="G10" s="15" t="str">
        <f>TRIM(INDEX(OpCode!$A$2:$J$257,HEX2DEC($A10)*16+HEX2DEC(G$1)+1,2)&amp;CHAR(10)&amp;INDEX(OpCode!$A$2:$J$257,HEX2DEC($A10)*16+HEX2DEC(G$1)+1,3))</f>
        <v>ADD
L</v>
      </c>
      <c r="H10" s="15" t="str">
        <f>TRIM(INDEX(OpCode!$A$2:$J$257,HEX2DEC($A10)*16+HEX2DEC(H$1)+1,2)&amp;CHAR(10)&amp;INDEX(OpCode!$A$2:$J$257,HEX2DEC($A10)*16+HEX2DEC(H$1)+1,3))</f>
        <v>ADD
M</v>
      </c>
      <c r="I10" s="15" t="str">
        <f>TRIM(INDEX(OpCode!$A$2:$J$257,HEX2DEC($A10)*16+HEX2DEC(I$1)+1,2)&amp;CHAR(10)&amp;INDEX(OpCode!$A$2:$J$257,HEX2DEC($A10)*16+HEX2DEC(I$1)+1,3))</f>
        <v>ADD
A</v>
      </c>
      <c r="J10" s="15" t="str">
        <f>TRIM(INDEX(OpCode!$A$2:$J$257,HEX2DEC($A10)*16+HEX2DEC(J$1)+1,2)&amp;CHAR(10)&amp;INDEX(OpCode!$A$2:$J$257,HEX2DEC($A10)*16+HEX2DEC(J$1)+1,3))</f>
        <v>ADC
B</v>
      </c>
      <c r="K10" s="15" t="str">
        <f>TRIM(INDEX(OpCode!$A$2:$J$257,HEX2DEC($A10)*16+HEX2DEC(K$1)+1,2)&amp;CHAR(10)&amp;INDEX(OpCode!$A$2:$J$257,HEX2DEC($A10)*16+HEX2DEC(K$1)+1,3))</f>
        <v>ADC
C</v>
      </c>
      <c r="L10" s="15" t="str">
        <f>TRIM(INDEX(OpCode!$A$2:$J$257,HEX2DEC($A10)*16+HEX2DEC(L$1)+1,2)&amp;CHAR(10)&amp;INDEX(OpCode!$A$2:$J$257,HEX2DEC($A10)*16+HEX2DEC(L$1)+1,3))</f>
        <v>ADC
D</v>
      </c>
      <c r="M10" s="15" t="str">
        <f>TRIM(INDEX(OpCode!$A$2:$J$257,HEX2DEC($A10)*16+HEX2DEC(M$1)+1,2)&amp;CHAR(10)&amp;INDEX(OpCode!$A$2:$J$257,HEX2DEC($A10)*16+HEX2DEC(M$1)+1,3))</f>
        <v>ADC
E</v>
      </c>
      <c r="N10" s="15" t="str">
        <f>TRIM(INDEX(OpCode!$A$2:$J$257,HEX2DEC($A10)*16+HEX2DEC(N$1)+1,2)&amp;CHAR(10)&amp;INDEX(OpCode!$A$2:$J$257,HEX2DEC($A10)*16+HEX2DEC(N$1)+1,3))</f>
        <v>ADC
H</v>
      </c>
      <c r="O10" s="15" t="str">
        <f>TRIM(INDEX(OpCode!$A$2:$J$257,HEX2DEC($A10)*16+HEX2DEC(O$1)+1,2)&amp;CHAR(10)&amp;INDEX(OpCode!$A$2:$J$257,HEX2DEC($A10)*16+HEX2DEC(O$1)+1,3))</f>
        <v>ADC
L</v>
      </c>
      <c r="P10" s="15" t="str">
        <f>TRIM(INDEX(OpCode!$A$2:$J$257,HEX2DEC($A10)*16+HEX2DEC(P$1)+1,2)&amp;CHAR(10)&amp;INDEX(OpCode!$A$2:$J$257,HEX2DEC($A10)*16+HEX2DEC(P$1)+1,3))</f>
        <v>ADC
M</v>
      </c>
      <c r="Q10" s="15" t="str">
        <f>TRIM(INDEX(OpCode!$A$2:$J$257,HEX2DEC($A10)*16+HEX2DEC(Q$1)+1,2)&amp;CHAR(10)&amp;INDEX(OpCode!$A$2:$J$257,HEX2DEC($A10)*16+HEX2DEC(Q$1)+1,3))</f>
        <v>ADC
A</v>
      </c>
    </row>
    <row r="11" spans="1:17" ht="40.5" x14ac:dyDescent="0.25">
      <c r="A11" s="17">
        <v>9</v>
      </c>
      <c r="B11" s="15" t="str">
        <f>TRIM(INDEX(OpCode!$A$2:$J$257,HEX2DEC($A11)*16+HEX2DEC(B$1)+1,2)&amp;CHAR(10)&amp;INDEX(OpCode!$A$2:$J$257,HEX2DEC($A11)*16+HEX2DEC(B$1)+1,3))</f>
        <v>SUB
B</v>
      </c>
      <c r="C11" s="15" t="str">
        <f>TRIM(INDEX(OpCode!$A$2:$J$257,HEX2DEC($A11)*16+HEX2DEC(C$1)+1,2)&amp;CHAR(10)&amp;INDEX(OpCode!$A$2:$J$257,HEX2DEC($A11)*16+HEX2DEC(C$1)+1,3))</f>
        <v>SUB
C</v>
      </c>
      <c r="D11" s="15" t="str">
        <f>TRIM(INDEX(OpCode!$A$2:$J$257,HEX2DEC($A11)*16+HEX2DEC(D$1)+1,2)&amp;CHAR(10)&amp;INDEX(OpCode!$A$2:$J$257,HEX2DEC($A11)*16+HEX2DEC(D$1)+1,3))</f>
        <v>SUB
D</v>
      </c>
      <c r="E11" s="15" t="str">
        <f>TRIM(INDEX(OpCode!$A$2:$J$257,HEX2DEC($A11)*16+HEX2DEC(E$1)+1,2)&amp;CHAR(10)&amp;INDEX(OpCode!$A$2:$J$257,HEX2DEC($A11)*16+HEX2DEC(E$1)+1,3))</f>
        <v>SUB
E</v>
      </c>
      <c r="F11" s="15" t="str">
        <f>TRIM(INDEX(OpCode!$A$2:$J$257,HEX2DEC($A11)*16+HEX2DEC(F$1)+1,2)&amp;CHAR(10)&amp;INDEX(OpCode!$A$2:$J$257,HEX2DEC($A11)*16+HEX2DEC(F$1)+1,3))</f>
        <v>SUB
H</v>
      </c>
      <c r="G11" s="15" t="str">
        <f>TRIM(INDEX(OpCode!$A$2:$J$257,HEX2DEC($A11)*16+HEX2DEC(G$1)+1,2)&amp;CHAR(10)&amp;INDEX(OpCode!$A$2:$J$257,HEX2DEC($A11)*16+HEX2DEC(G$1)+1,3))</f>
        <v>SUB
L</v>
      </c>
      <c r="H11" s="15" t="str">
        <f>TRIM(INDEX(OpCode!$A$2:$J$257,HEX2DEC($A11)*16+HEX2DEC(H$1)+1,2)&amp;CHAR(10)&amp;INDEX(OpCode!$A$2:$J$257,HEX2DEC($A11)*16+HEX2DEC(H$1)+1,3))</f>
        <v>SUB
M</v>
      </c>
      <c r="I11" s="15" t="str">
        <f>TRIM(INDEX(OpCode!$A$2:$J$257,HEX2DEC($A11)*16+HEX2DEC(I$1)+1,2)&amp;CHAR(10)&amp;INDEX(OpCode!$A$2:$J$257,HEX2DEC($A11)*16+HEX2DEC(I$1)+1,3))</f>
        <v>SUB
A</v>
      </c>
      <c r="J11" s="15" t="str">
        <f>TRIM(INDEX(OpCode!$A$2:$J$257,HEX2DEC($A11)*16+HEX2DEC(J$1)+1,2)&amp;CHAR(10)&amp;INDEX(OpCode!$A$2:$J$257,HEX2DEC($A11)*16+HEX2DEC(J$1)+1,3))</f>
        <v>SBB
B</v>
      </c>
      <c r="K11" s="15" t="str">
        <f>TRIM(INDEX(OpCode!$A$2:$J$257,HEX2DEC($A11)*16+HEX2DEC(K$1)+1,2)&amp;CHAR(10)&amp;INDEX(OpCode!$A$2:$J$257,HEX2DEC($A11)*16+HEX2DEC(K$1)+1,3))</f>
        <v>SBB
C</v>
      </c>
      <c r="L11" s="15" t="str">
        <f>TRIM(INDEX(OpCode!$A$2:$J$257,HEX2DEC($A11)*16+HEX2DEC(L$1)+1,2)&amp;CHAR(10)&amp;INDEX(OpCode!$A$2:$J$257,HEX2DEC($A11)*16+HEX2DEC(L$1)+1,3))</f>
        <v>SBB
D</v>
      </c>
      <c r="M11" s="15" t="str">
        <f>TRIM(INDEX(OpCode!$A$2:$J$257,HEX2DEC($A11)*16+HEX2DEC(M$1)+1,2)&amp;CHAR(10)&amp;INDEX(OpCode!$A$2:$J$257,HEX2DEC($A11)*16+HEX2DEC(M$1)+1,3))</f>
        <v>SBB
E</v>
      </c>
      <c r="N11" s="15" t="str">
        <f>TRIM(INDEX(OpCode!$A$2:$J$257,HEX2DEC($A11)*16+HEX2DEC(N$1)+1,2)&amp;CHAR(10)&amp;INDEX(OpCode!$A$2:$J$257,HEX2DEC($A11)*16+HEX2DEC(N$1)+1,3))</f>
        <v>SBB
H</v>
      </c>
      <c r="O11" s="15" t="str">
        <f>TRIM(INDEX(OpCode!$A$2:$J$257,HEX2DEC($A11)*16+HEX2DEC(O$1)+1,2)&amp;CHAR(10)&amp;INDEX(OpCode!$A$2:$J$257,HEX2DEC($A11)*16+HEX2DEC(O$1)+1,3))</f>
        <v>SBB
L</v>
      </c>
      <c r="P11" s="15" t="str">
        <f>TRIM(INDEX(OpCode!$A$2:$J$257,HEX2DEC($A11)*16+HEX2DEC(P$1)+1,2)&amp;CHAR(10)&amp;INDEX(OpCode!$A$2:$J$257,HEX2DEC($A11)*16+HEX2DEC(P$1)+1,3))</f>
        <v>SBB
M</v>
      </c>
      <c r="Q11" s="15" t="str">
        <f>TRIM(INDEX(OpCode!$A$2:$J$257,HEX2DEC($A11)*16+HEX2DEC(Q$1)+1,2)&amp;CHAR(10)&amp;INDEX(OpCode!$A$2:$J$257,HEX2DEC($A11)*16+HEX2DEC(Q$1)+1,3))</f>
        <v>SBB
A</v>
      </c>
    </row>
    <row r="12" spans="1:17" ht="27" x14ac:dyDescent="0.25">
      <c r="A12" s="17" t="s">
        <v>10</v>
      </c>
      <c r="B12" s="15" t="str">
        <f>TRIM(INDEX(OpCode!$A$2:$J$257,HEX2DEC($A12)*16+HEX2DEC(B$1)+1,2)&amp;CHAR(10)&amp;INDEX(OpCode!$A$2:$J$257,HEX2DEC($A12)*16+HEX2DEC(B$1)+1,3))</f>
        <v>ANA
B</v>
      </c>
      <c r="C12" s="15" t="str">
        <f>TRIM(INDEX(OpCode!$A$2:$J$257,HEX2DEC($A12)*16+HEX2DEC(C$1)+1,2)&amp;CHAR(10)&amp;INDEX(OpCode!$A$2:$J$257,HEX2DEC($A12)*16+HEX2DEC(C$1)+1,3))</f>
        <v>ANA
C</v>
      </c>
      <c r="D12" s="15" t="str">
        <f>TRIM(INDEX(OpCode!$A$2:$J$257,HEX2DEC($A12)*16+HEX2DEC(D$1)+1,2)&amp;CHAR(10)&amp;INDEX(OpCode!$A$2:$J$257,HEX2DEC($A12)*16+HEX2DEC(D$1)+1,3))</f>
        <v>ANA
D</v>
      </c>
      <c r="E12" s="15" t="str">
        <f>TRIM(INDEX(OpCode!$A$2:$J$257,HEX2DEC($A12)*16+HEX2DEC(E$1)+1,2)&amp;CHAR(10)&amp;INDEX(OpCode!$A$2:$J$257,HEX2DEC($A12)*16+HEX2DEC(E$1)+1,3))</f>
        <v>ANA
E</v>
      </c>
      <c r="F12" s="15" t="str">
        <f>TRIM(INDEX(OpCode!$A$2:$J$257,HEX2DEC($A12)*16+HEX2DEC(F$1)+1,2)&amp;CHAR(10)&amp;INDEX(OpCode!$A$2:$J$257,HEX2DEC($A12)*16+HEX2DEC(F$1)+1,3))</f>
        <v>ANA
H</v>
      </c>
      <c r="G12" s="15" t="str">
        <f>TRIM(INDEX(OpCode!$A$2:$J$257,HEX2DEC($A12)*16+HEX2DEC(G$1)+1,2)&amp;CHAR(10)&amp;INDEX(OpCode!$A$2:$J$257,HEX2DEC($A12)*16+HEX2DEC(G$1)+1,3))</f>
        <v>ANA
L</v>
      </c>
      <c r="H12" s="15" t="str">
        <f>TRIM(INDEX(OpCode!$A$2:$J$257,HEX2DEC($A12)*16+HEX2DEC(H$1)+1,2)&amp;CHAR(10)&amp;INDEX(OpCode!$A$2:$J$257,HEX2DEC($A12)*16+HEX2DEC(H$1)+1,3))</f>
        <v>ANA
M</v>
      </c>
      <c r="I12" s="15" t="str">
        <f>TRIM(INDEX(OpCode!$A$2:$J$257,HEX2DEC($A12)*16+HEX2DEC(I$1)+1,2)&amp;CHAR(10)&amp;INDEX(OpCode!$A$2:$J$257,HEX2DEC($A12)*16+HEX2DEC(I$1)+1,3))</f>
        <v>ANA
A</v>
      </c>
      <c r="J12" s="15" t="str">
        <f>TRIM(INDEX(OpCode!$A$2:$J$257,HEX2DEC($A12)*16+HEX2DEC(J$1)+1,2)&amp;CHAR(10)&amp;INDEX(OpCode!$A$2:$J$257,HEX2DEC($A12)*16+HEX2DEC(J$1)+1,3))</f>
        <v>XRA
B</v>
      </c>
      <c r="K12" s="15" t="str">
        <f>TRIM(INDEX(OpCode!$A$2:$J$257,HEX2DEC($A12)*16+HEX2DEC(K$1)+1,2)&amp;CHAR(10)&amp;INDEX(OpCode!$A$2:$J$257,HEX2DEC($A12)*16+HEX2DEC(K$1)+1,3))</f>
        <v>XRA
C</v>
      </c>
      <c r="L12" s="15" t="str">
        <f>TRIM(INDEX(OpCode!$A$2:$J$257,HEX2DEC($A12)*16+HEX2DEC(L$1)+1,2)&amp;CHAR(10)&amp;INDEX(OpCode!$A$2:$J$257,HEX2DEC($A12)*16+HEX2DEC(L$1)+1,3))</f>
        <v>XRA
D</v>
      </c>
      <c r="M12" s="15" t="str">
        <f>TRIM(INDEX(OpCode!$A$2:$J$257,HEX2DEC($A12)*16+HEX2DEC(M$1)+1,2)&amp;CHAR(10)&amp;INDEX(OpCode!$A$2:$J$257,HEX2DEC($A12)*16+HEX2DEC(M$1)+1,3))</f>
        <v>XRA
E</v>
      </c>
      <c r="N12" s="15" t="str">
        <f>TRIM(INDEX(OpCode!$A$2:$J$257,HEX2DEC($A12)*16+HEX2DEC(N$1)+1,2)&amp;CHAR(10)&amp;INDEX(OpCode!$A$2:$J$257,HEX2DEC($A12)*16+HEX2DEC(N$1)+1,3))</f>
        <v>XRA
H</v>
      </c>
      <c r="O12" s="15" t="str">
        <f>TRIM(INDEX(OpCode!$A$2:$J$257,HEX2DEC($A12)*16+HEX2DEC(O$1)+1,2)&amp;CHAR(10)&amp;INDEX(OpCode!$A$2:$J$257,HEX2DEC($A12)*16+HEX2DEC(O$1)+1,3))</f>
        <v>XRA
L</v>
      </c>
      <c r="P12" s="15" t="str">
        <f>TRIM(INDEX(OpCode!$A$2:$J$257,HEX2DEC($A12)*16+HEX2DEC(P$1)+1,2)&amp;CHAR(10)&amp;INDEX(OpCode!$A$2:$J$257,HEX2DEC($A12)*16+HEX2DEC(P$1)+1,3))</f>
        <v>XRA
M</v>
      </c>
      <c r="Q12" s="15" t="str">
        <f>TRIM(INDEX(OpCode!$A$2:$J$257,HEX2DEC($A12)*16+HEX2DEC(Q$1)+1,2)&amp;CHAR(10)&amp;INDEX(OpCode!$A$2:$J$257,HEX2DEC($A12)*16+HEX2DEC(Q$1)+1,3))</f>
        <v>XRA
A</v>
      </c>
    </row>
    <row r="13" spans="1:17" ht="27" x14ac:dyDescent="0.25">
      <c r="A13" s="17" t="s">
        <v>11</v>
      </c>
      <c r="B13" s="15" t="str">
        <f>TRIM(INDEX(OpCode!$A$2:$J$257,HEX2DEC($A13)*16+HEX2DEC(B$1)+1,2)&amp;CHAR(10)&amp;INDEX(OpCode!$A$2:$J$257,HEX2DEC($A13)*16+HEX2DEC(B$1)+1,3))</f>
        <v>ORA
B</v>
      </c>
      <c r="C13" s="15" t="str">
        <f>TRIM(INDEX(OpCode!$A$2:$J$257,HEX2DEC($A13)*16+HEX2DEC(C$1)+1,2)&amp;CHAR(10)&amp;INDEX(OpCode!$A$2:$J$257,HEX2DEC($A13)*16+HEX2DEC(C$1)+1,3))</f>
        <v>ORA
C</v>
      </c>
      <c r="D13" s="15" t="str">
        <f>TRIM(INDEX(OpCode!$A$2:$J$257,HEX2DEC($A13)*16+HEX2DEC(D$1)+1,2)&amp;CHAR(10)&amp;INDEX(OpCode!$A$2:$J$257,HEX2DEC($A13)*16+HEX2DEC(D$1)+1,3))</f>
        <v>ORA
D</v>
      </c>
      <c r="E13" s="15" t="str">
        <f>TRIM(INDEX(OpCode!$A$2:$J$257,HEX2DEC($A13)*16+HEX2DEC(E$1)+1,2)&amp;CHAR(10)&amp;INDEX(OpCode!$A$2:$J$257,HEX2DEC($A13)*16+HEX2DEC(E$1)+1,3))</f>
        <v>ORA
E</v>
      </c>
      <c r="F13" s="15" t="str">
        <f>TRIM(INDEX(OpCode!$A$2:$J$257,HEX2DEC($A13)*16+HEX2DEC(F$1)+1,2)&amp;CHAR(10)&amp;INDEX(OpCode!$A$2:$J$257,HEX2DEC($A13)*16+HEX2DEC(F$1)+1,3))</f>
        <v>ORA
H</v>
      </c>
      <c r="G13" s="15" t="str">
        <f>TRIM(INDEX(OpCode!$A$2:$J$257,HEX2DEC($A13)*16+HEX2DEC(G$1)+1,2)&amp;CHAR(10)&amp;INDEX(OpCode!$A$2:$J$257,HEX2DEC($A13)*16+HEX2DEC(G$1)+1,3))</f>
        <v>ORA
L</v>
      </c>
      <c r="H13" s="15" t="str">
        <f>TRIM(INDEX(OpCode!$A$2:$J$257,HEX2DEC($A13)*16+HEX2DEC(H$1)+1,2)&amp;CHAR(10)&amp;INDEX(OpCode!$A$2:$J$257,HEX2DEC($A13)*16+HEX2DEC(H$1)+1,3))</f>
        <v>ORA
M</v>
      </c>
      <c r="I13" s="15" t="str">
        <f>TRIM(INDEX(OpCode!$A$2:$J$257,HEX2DEC($A13)*16+HEX2DEC(I$1)+1,2)&amp;CHAR(10)&amp;INDEX(OpCode!$A$2:$J$257,HEX2DEC($A13)*16+HEX2DEC(I$1)+1,3))</f>
        <v>ORA
A</v>
      </c>
      <c r="J13" s="15" t="str">
        <f>TRIM(INDEX(OpCode!$A$2:$J$257,HEX2DEC($A13)*16+HEX2DEC(J$1)+1,2)&amp;CHAR(10)&amp;INDEX(OpCode!$A$2:$J$257,HEX2DEC($A13)*16+HEX2DEC(J$1)+1,3))</f>
        <v>CMP
B</v>
      </c>
      <c r="K13" s="15" t="str">
        <f>TRIM(INDEX(OpCode!$A$2:$J$257,HEX2DEC($A13)*16+HEX2DEC(K$1)+1,2)&amp;CHAR(10)&amp;INDEX(OpCode!$A$2:$J$257,HEX2DEC($A13)*16+HEX2DEC(K$1)+1,3))</f>
        <v>CMP
C</v>
      </c>
      <c r="L13" s="15" t="str">
        <f>TRIM(INDEX(OpCode!$A$2:$J$257,HEX2DEC($A13)*16+HEX2DEC(L$1)+1,2)&amp;CHAR(10)&amp;INDEX(OpCode!$A$2:$J$257,HEX2DEC($A13)*16+HEX2DEC(L$1)+1,3))</f>
        <v>CMP
D</v>
      </c>
      <c r="M13" s="15" t="str">
        <f>TRIM(INDEX(OpCode!$A$2:$J$257,HEX2DEC($A13)*16+HEX2DEC(M$1)+1,2)&amp;CHAR(10)&amp;INDEX(OpCode!$A$2:$J$257,HEX2DEC($A13)*16+HEX2DEC(M$1)+1,3))</f>
        <v>CMP
E</v>
      </c>
      <c r="N13" s="15" t="str">
        <f>TRIM(INDEX(OpCode!$A$2:$J$257,HEX2DEC($A13)*16+HEX2DEC(N$1)+1,2)&amp;CHAR(10)&amp;INDEX(OpCode!$A$2:$J$257,HEX2DEC($A13)*16+HEX2DEC(N$1)+1,3))</f>
        <v>CMP
H</v>
      </c>
      <c r="O13" s="15" t="str">
        <f>TRIM(INDEX(OpCode!$A$2:$J$257,HEX2DEC($A13)*16+HEX2DEC(O$1)+1,2)&amp;CHAR(10)&amp;INDEX(OpCode!$A$2:$J$257,HEX2DEC($A13)*16+HEX2DEC(O$1)+1,3))</f>
        <v>CMP
L</v>
      </c>
      <c r="P13" s="15" t="str">
        <f>TRIM(INDEX(OpCode!$A$2:$J$257,HEX2DEC($A13)*16+HEX2DEC(P$1)+1,2)&amp;CHAR(10)&amp;INDEX(OpCode!$A$2:$J$257,HEX2DEC($A13)*16+HEX2DEC(P$1)+1,3))</f>
        <v>CMP
M</v>
      </c>
      <c r="Q13" s="15" t="str">
        <f>TRIM(INDEX(OpCode!$A$2:$J$257,HEX2DEC($A13)*16+HEX2DEC(Q$1)+1,2)&amp;CHAR(10)&amp;INDEX(OpCode!$A$2:$J$257,HEX2DEC($A13)*16+HEX2DEC(Q$1)+1,3))</f>
        <v>CMP
A</v>
      </c>
    </row>
    <row r="14" spans="1:17" ht="27" x14ac:dyDescent="0.25">
      <c r="A14" s="17" t="s">
        <v>13</v>
      </c>
      <c r="B14" s="15" t="str">
        <f>TRIM(INDEX(OpCode!$A$2:$J$257,HEX2DEC($A14)*16+HEX2DEC(B$1)+1,2)&amp;CHAR(10)&amp;INDEX(OpCode!$A$2:$J$257,HEX2DEC($A14)*16+HEX2DEC(B$1)+1,3))</f>
        <v xml:space="preserve">RNZ
</v>
      </c>
      <c r="C14" s="15" t="str">
        <f>TRIM(INDEX(OpCode!$A$2:$J$257,HEX2DEC($A14)*16+HEX2DEC(C$1)+1,2)&amp;CHAR(10)&amp;INDEX(OpCode!$A$2:$J$257,HEX2DEC($A14)*16+HEX2DEC(C$1)+1,3))</f>
        <v>POP
B</v>
      </c>
      <c r="D14" s="15" t="str">
        <f>TRIM(INDEX(OpCode!$A$2:$J$257,HEX2DEC($A14)*16+HEX2DEC(D$1)+1,2)&amp;CHAR(10)&amp;INDEX(OpCode!$A$2:$J$257,HEX2DEC($A14)*16+HEX2DEC(D$1)+1,3))</f>
        <v>JNZ
a16</v>
      </c>
      <c r="E14" s="15" t="str">
        <f>TRIM(INDEX(OpCode!$A$2:$J$257,HEX2DEC($A14)*16+HEX2DEC(E$1)+1,2)&amp;CHAR(10)&amp;INDEX(OpCode!$A$2:$J$257,HEX2DEC($A14)*16+HEX2DEC(E$1)+1,3))</f>
        <v>JMP
a16</v>
      </c>
      <c r="F14" s="15" t="str">
        <f>TRIM(INDEX(OpCode!$A$2:$J$257,HEX2DEC($A14)*16+HEX2DEC(F$1)+1,2)&amp;CHAR(10)&amp;INDEX(OpCode!$A$2:$J$257,HEX2DEC($A14)*16+HEX2DEC(F$1)+1,3))</f>
        <v>CNZ
a16</v>
      </c>
      <c r="G14" s="15" t="str">
        <f>TRIM(INDEX(OpCode!$A$2:$J$257,HEX2DEC($A14)*16+HEX2DEC(G$1)+1,2)&amp;CHAR(10)&amp;INDEX(OpCode!$A$2:$J$257,HEX2DEC($A14)*16+HEX2DEC(G$1)+1,3))</f>
        <v>PUSH
B</v>
      </c>
      <c r="H14" s="15" t="str">
        <f>TRIM(INDEX(OpCode!$A$2:$J$257,HEX2DEC($A14)*16+HEX2DEC(H$1)+1,2)&amp;CHAR(10)&amp;INDEX(OpCode!$A$2:$J$257,HEX2DEC($A14)*16+HEX2DEC(H$1)+1,3))</f>
        <v>ADI
d8</v>
      </c>
      <c r="I14" s="15" t="str">
        <f>TRIM(INDEX(OpCode!$A$2:$J$257,HEX2DEC($A14)*16+HEX2DEC(I$1)+1,2)&amp;CHAR(10)&amp;INDEX(OpCode!$A$2:$J$257,HEX2DEC($A14)*16+HEX2DEC(I$1)+1,3))</f>
        <v>RST
0</v>
      </c>
      <c r="J14" s="15" t="str">
        <f>TRIM(INDEX(OpCode!$A$2:$J$257,HEX2DEC($A14)*16+HEX2DEC(J$1)+1,2)&amp;CHAR(10)&amp;INDEX(OpCode!$A$2:$J$257,HEX2DEC($A14)*16+HEX2DEC(J$1)+1,3))</f>
        <v xml:space="preserve">RZ
</v>
      </c>
      <c r="K14" s="15" t="str">
        <f>TRIM(INDEX(OpCode!$A$2:$J$257,HEX2DEC($A14)*16+HEX2DEC(K$1)+1,2)&amp;CHAR(10)&amp;INDEX(OpCode!$A$2:$J$257,HEX2DEC($A14)*16+HEX2DEC(K$1)+1,3))</f>
        <v xml:space="preserve">RET
</v>
      </c>
      <c r="L14" s="15" t="str">
        <f>TRIM(INDEX(OpCode!$A$2:$J$257,HEX2DEC($A14)*16+HEX2DEC(L$1)+1,2)&amp;CHAR(10)&amp;INDEX(OpCode!$A$2:$J$257,HEX2DEC($A14)*16+HEX2DEC(L$1)+1,3))</f>
        <v>JZ
a16</v>
      </c>
      <c r="M14" s="15" t="str">
        <f>TRIM(INDEX(OpCode!$A$2:$J$257,HEX2DEC($A14)*16+HEX2DEC(M$1)+1,2)&amp;CHAR(10)&amp;INDEX(OpCode!$A$2:$J$257,HEX2DEC($A14)*16+HEX2DEC(M$1)+1,3))</f>
        <v xml:space="preserve">RSTV
</v>
      </c>
      <c r="N14" s="15" t="str">
        <f>TRIM(INDEX(OpCode!$A$2:$J$257,HEX2DEC($A14)*16+HEX2DEC(N$1)+1,2)&amp;CHAR(10)&amp;INDEX(OpCode!$A$2:$J$257,HEX2DEC($A14)*16+HEX2DEC(N$1)+1,3))</f>
        <v>CZ
a16</v>
      </c>
      <c r="O14" s="15" t="str">
        <f>TRIM(INDEX(OpCode!$A$2:$J$257,HEX2DEC($A14)*16+HEX2DEC(O$1)+1,2)&amp;CHAR(10)&amp;INDEX(OpCode!$A$2:$J$257,HEX2DEC($A14)*16+HEX2DEC(O$1)+1,3))</f>
        <v>CALL
a16</v>
      </c>
      <c r="P14" s="15" t="str">
        <f>TRIM(INDEX(OpCode!$A$2:$J$257,HEX2DEC($A14)*16+HEX2DEC(P$1)+1,2)&amp;CHAR(10)&amp;INDEX(OpCode!$A$2:$J$257,HEX2DEC($A14)*16+HEX2DEC(P$1)+1,3))</f>
        <v>ACI
d8</v>
      </c>
      <c r="Q14" s="15" t="str">
        <f>TRIM(INDEX(OpCode!$A$2:$J$257,HEX2DEC($A14)*16+HEX2DEC(Q$1)+1,2)&amp;CHAR(10)&amp;INDEX(OpCode!$A$2:$J$257,HEX2DEC($A14)*16+HEX2DEC(Q$1)+1,3))</f>
        <v>RST
1</v>
      </c>
    </row>
    <row r="15" spans="1:17" ht="27" x14ac:dyDescent="0.25">
      <c r="A15" s="17" t="s">
        <v>14</v>
      </c>
      <c r="B15" s="15" t="str">
        <f>TRIM(INDEX(OpCode!$A$2:$J$257,HEX2DEC($A15)*16+HEX2DEC(B$1)+1,2)&amp;CHAR(10)&amp;INDEX(OpCode!$A$2:$J$257,HEX2DEC($A15)*16+HEX2DEC(B$1)+1,3))</f>
        <v xml:space="preserve">RNC
</v>
      </c>
      <c r="C15" s="15" t="str">
        <f>TRIM(INDEX(OpCode!$A$2:$J$257,HEX2DEC($A15)*16+HEX2DEC(C$1)+1,2)&amp;CHAR(10)&amp;INDEX(OpCode!$A$2:$J$257,HEX2DEC($A15)*16+HEX2DEC(C$1)+1,3))</f>
        <v>POP
D</v>
      </c>
      <c r="D15" s="15" t="str">
        <f>TRIM(INDEX(OpCode!$A$2:$J$257,HEX2DEC($A15)*16+HEX2DEC(D$1)+1,2)&amp;CHAR(10)&amp;INDEX(OpCode!$A$2:$J$257,HEX2DEC($A15)*16+HEX2DEC(D$1)+1,3))</f>
        <v>JNC
a16</v>
      </c>
      <c r="E15" s="15" t="str">
        <f>TRIM(INDEX(OpCode!$A$2:$J$257,HEX2DEC($A15)*16+HEX2DEC(E$1)+1,2)&amp;CHAR(10)&amp;INDEX(OpCode!$A$2:$J$257,HEX2DEC($A15)*16+HEX2DEC(E$1)+1,3))</f>
        <v>OUT
d8</v>
      </c>
      <c r="F15" s="15" t="str">
        <f>TRIM(INDEX(OpCode!$A$2:$J$257,HEX2DEC($A15)*16+HEX2DEC(F$1)+1,2)&amp;CHAR(10)&amp;INDEX(OpCode!$A$2:$J$257,HEX2DEC($A15)*16+HEX2DEC(F$1)+1,3))</f>
        <v>CNC
a16</v>
      </c>
      <c r="G15" s="15" t="str">
        <f>TRIM(INDEX(OpCode!$A$2:$J$257,HEX2DEC($A15)*16+HEX2DEC(G$1)+1,2)&amp;CHAR(10)&amp;INDEX(OpCode!$A$2:$J$257,HEX2DEC($A15)*16+HEX2DEC(G$1)+1,3))</f>
        <v>PUSH
D</v>
      </c>
      <c r="H15" s="15" t="str">
        <f>TRIM(INDEX(OpCode!$A$2:$J$257,HEX2DEC($A15)*16+HEX2DEC(H$1)+1,2)&amp;CHAR(10)&amp;INDEX(OpCode!$A$2:$J$257,HEX2DEC($A15)*16+HEX2DEC(H$1)+1,3))</f>
        <v>SUI
d8</v>
      </c>
      <c r="I15" s="15" t="str">
        <f>TRIM(INDEX(OpCode!$A$2:$J$257,HEX2DEC($A15)*16+HEX2DEC(I$1)+1,2)&amp;CHAR(10)&amp;INDEX(OpCode!$A$2:$J$257,HEX2DEC($A15)*16+HEX2DEC(I$1)+1,3))</f>
        <v>RST
2</v>
      </c>
      <c r="J15" s="15" t="str">
        <f>TRIM(INDEX(OpCode!$A$2:$J$257,HEX2DEC($A15)*16+HEX2DEC(J$1)+1,2)&amp;CHAR(10)&amp;INDEX(OpCode!$A$2:$J$257,HEX2DEC($A15)*16+HEX2DEC(J$1)+1,3))</f>
        <v xml:space="preserve">RC
</v>
      </c>
      <c r="K15" s="15" t="str">
        <f>TRIM(INDEX(OpCode!$A$2:$J$257,HEX2DEC($A15)*16+HEX2DEC(K$1)+1,2)&amp;CHAR(10)&amp;INDEX(OpCode!$A$2:$J$257,HEX2DEC($A15)*16+HEX2DEC(K$1)+1,3))</f>
        <v xml:space="preserve">SHLX
</v>
      </c>
      <c r="L15" s="15" t="str">
        <f>TRIM(INDEX(OpCode!$A$2:$J$257,HEX2DEC($A15)*16+HEX2DEC(L$1)+1,2)&amp;CHAR(10)&amp;INDEX(OpCode!$A$2:$J$257,HEX2DEC($A15)*16+HEX2DEC(L$1)+1,3))</f>
        <v>JC
a16</v>
      </c>
      <c r="M15" s="15" t="str">
        <f>TRIM(INDEX(OpCode!$A$2:$J$257,HEX2DEC($A15)*16+HEX2DEC(M$1)+1,2)&amp;CHAR(10)&amp;INDEX(OpCode!$A$2:$J$257,HEX2DEC($A15)*16+HEX2DEC(M$1)+1,3))</f>
        <v>IN
d8</v>
      </c>
      <c r="N15" s="15" t="str">
        <f>TRIM(INDEX(OpCode!$A$2:$J$257,HEX2DEC($A15)*16+HEX2DEC(N$1)+1,2)&amp;CHAR(10)&amp;INDEX(OpCode!$A$2:$J$257,HEX2DEC($A15)*16+HEX2DEC(N$1)+1,3))</f>
        <v>CC
a16</v>
      </c>
      <c r="O15" s="15" t="str">
        <f>TRIM(INDEX(OpCode!$A$2:$J$257,HEX2DEC($A15)*16+HEX2DEC(O$1)+1,2)&amp;CHAR(10)&amp;INDEX(OpCode!$A$2:$J$257,HEX2DEC($A15)*16+HEX2DEC(O$1)+1,3))</f>
        <v>JNK
a16</v>
      </c>
      <c r="P15" s="15" t="str">
        <f>TRIM(INDEX(OpCode!$A$2:$J$257,HEX2DEC($A15)*16+HEX2DEC(P$1)+1,2)&amp;CHAR(10)&amp;INDEX(OpCode!$A$2:$J$257,HEX2DEC($A15)*16+HEX2DEC(P$1)+1,3))</f>
        <v>SBI
d8</v>
      </c>
      <c r="Q15" s="15" t="str">
        <f>TRIM(INDEX(OpCode!$A$2:$J$257,HEX2DEC($A15)*16+HEX2DEC(Q$1)+1,2)&amp;CHAR(10)&amp;INDEX(OpCode!$A$2:$J$257,HEX2DEC($A15)*16+HEX2DEC(Q$1)+1,3))</f>
        <v>RST
3</v>
      </c>
    </row>
    <row r="16" spans="1:17" ht="27" x14ac:dyDescent="0.25">
      <c r="A16" s="17" t="s">
        <v>15</v>
      </c>
      <c r="B16" s="15" t="str">
        <f>TRIM(INDEX(OpCode!$A$2:$J$257,HEX2DEC($A16)*16+HEX2DEC(B$1)+1,2)&amp;CHAR(10)&amp;INDEX(OpCode!$A$2:$J$257,HEX2DEC($A16)*16+HEX2DEC(B$1)+1,3))</f>
        <v xml:space="preserve">RPO
</v>
      </c>
      <c r="C16" s="15" t="str">
        <f>TRIM(INDEX(OpCode!$A$2:$J$257,HEX2DEC($A16)*16+HEX2DEC(C$1)+1,2)&amp;CHAR(10)&amp;INDEX(OpCode!$A$2:$J$257,HEX2DEC($A16)*16+HEX2DEC(C$1)+1,3))</f>
        <v>POP
H</v>
      </c>
      <c r="D16" s="15" t="str">
        <f>TRIM(INDEX(OpCode!$A$2:$J$257,HEX2DEC($A16)*16+HEX2DEC(D$1)+1,2)&amp;CHAR(10)&amp;INDEX(OpCode!$A$2:$J$257,HEX2DEC($A16)*16+HEX2DEC(D$1)+1,3))</f>
        <v>JPO
a16</v>
      </c>
      <c r="E16" s="15" t="str">
        <f>TRIM(INDEX(OpCode!$A$2:$J$257,HEX2DEC($A16)*16+HEX2DEC(E$1)+1,2)&amp;CHAR(10)&amp;INDEX(OpCode!$A$2:$J$257,HEX2DEC($A16)*16+HEX2DEC(E$1)+1,3))</f>
        <v xml:space="preserve">XTHL
</v>
      </c>
      <c r="F16" s="15" t="str">
        <f>TRIM(INDEX(OpCode!$A$2:$J$257,HEX2DEC($A16)*16+HEX2DEC(F$1)+1,2)&amp;CHAR(10)&amp;INDEX(OpCode!$A$2:$J$257,HEX2DEC($A16)*16+HEX2DEC(F$1)+1,3))</f>
        <v>CPO
a16</v>
      </c>
      <c r="G16" s="15" t="str">
        <f>TRIM(INDEX(OpCode!$A$2:$J$257,HEX2DEC($A16)*16+HEX2DEC(G$1)+1,2)&amp;CHAR(10)&amp;INDEX(OpCode!$A$2:$J$257,HEX2DEC($A16)*16+HEX2DEC(G$1)+1,3))</f>
        <v>PUSH
H</v>
      </c>
      <c r="H16" s="15" t="str">
        <f>TRIM(INDEX(OpCode!$A$2:$J$257,HEX2DEC($A16)*16+HEX2DEC(H$1)+1,2)&amp;CHAR(10)&amp;INDEX(OpCode!$A$2:$J$257,HEX2DEC($A16)*16+HEX2DEC(H$1)+1,3))</f>
        <v>ANI
d8</v>
      </c>
      <c r="I16" s="15" t="str">
        <f>TRIM(INDEX(OpCode!$A$2:$J$257,HEX2DEC($A16)*16+HEX2DEC(I$1)+1,2)&amp;CHAR(10)&amp;INDEX(OpCode!$A$2:$J$257,HEX2DEC($A16)*16+HEX2DEC(I$1)+1,3))</f>
        <v>RST
4</v>
      </c>
      <c r="J16" s="15" t="str">
        <f>TRIM(INDEX(OpCode!$A$2:$J$257,HEX2DEC($A16)*16+HEX2DEC(J$1)+1,2)&amp;CHAR(10)&amp;INDEX(OpCode!$A$2:$J$257,HEX2DEC($A16)*16+HEX2DEC(J$1)+1,3))</f>
        <v xml:space="preserve">RPE
</v>
      </c>
      <c r="K16" s="15" t="str">
        <f>TRIM(INDEX(OpCode!$A$2:$J$257,HEX2DEC($A16)*16+HEX2DEC(K$1)+1,2)&amp;CHAR(10)&amp;INDEX(OpCode!$A$2:$J$257,HEX2DEC($A16)*16+HEX2DEC(K$1)+1,3))</f>
        <v xml:space="preserve">PCHL
</v>
      </c>
      <c r="L16" s="15" t="str">
        <f>TRIM(INDEX(OpCode!$A$2:$J$257,HEX2DEC($A16)*16+HEX2DEC(L$1)+1,2)&amp;CHAR(10)&amp;INDEX(OpCode!$A$2:$J$257,HEX2DEC($A16)*16+HEX2DEC(L$1)+1,3))</f>
        <v>JPE
a16</v>
      </c>
      <c r="M16" s="15" t="str">
        <f>TRIM(INDEX(OpCode!$A$2:$J$257,HEX2DEC($A16)*16+HEX2DEC(M$1)+1,2)&amp;CHAR(10)&amp;INDEX(OpCode!$A$2:$J$257,HEX2DEC($A16)*16+HEX2DEC(M$1)+1,3))</f>
        <v xml:space="preserve">XCHG
</v>
      </c>
      <c r="N16" s="15" t="str">
        <f>TRIM(INDEX(OpCode!$A$2:$J$257,HEX2DEC($A16)*16+HEX2DEC(N$1)+1,2)&amp;CHAR(10)&amp;INDEX(OpCode!$A$2:$J$257,HEX2DEC($A16)*16+HEX2DEC(N$1)+1,3))</f>
        <v>CPE
a16</v>
      </c>
      <c r="O16" s="15" t="str">
        <f>TRIM(INDEX(OpCode!$A$2:$J$257,HEX2DEC($A16)*16+HEX2DEC(O$1)+1,2)&amp;CHAR(10)&amp;INDEX(OpCode!$A$2:$J$257,HEX2DEC($A16)*16+HEX2DEC(O$1)+1,3))</f>
        <v xml:space="preserve">LHLX
</v>
      </c>
      <c r="P16" s="15" t="str">
        <f>TRIM(INDEX(OpCode!$A$2:$J$257,HEX2DEC($A16)*16+HEX2DEC(P$1)+1,2)&amp;CHAR(10)&amp;INDEX(OpCode!$A$2:$J$257,HEX2DEC($A16)*16+HEX2DEC(P$1)+1,3))</f>
        <v>XRI
d8</v>
      </c>
      <c r="Q16" s="15" t="str">
        <f>TRIM(INDEX(OpCode!$A$2:$J$257,HEX2DEC($A16)*16+HEX2DEC(Q$1)+1,2)&amp;CHAR(10)&amp;INDEX(OpCode!$A$2:$J$257,HEX2DEC($A16)*16+HEX2DEC(Q$1)+1,3))</f>
        <v>RST
5</v>
      </c>
    </row>
    <row r="17" spans="1:17" ht="27" x14ac:dyDescent="0.25">
      <c r="A17" s="17" t="s">
        <v>16</v>
      </c>
      <c r="B17" s="15" t="str">
        <f>TRIM(INDEX(OpCode!$A$2:$J$257,HEX2DEC($A17)*16+HEX2DEC(B$1)+1,2)&amp;CHAR(10)&amp;INDEX(OpCode!$A$2:$J$257,HEX2DEC($A17)*16+HEX2DEC(B$1)+1,3))</f>
        <v xml:space="preserve">RP
</v>
      </c>
      <c r="C17" s="15" t="str">
        <f>TRIM(INDEX(OpCode!$A$2:$J$257,HEX2DEC($A17)*16+HEX2DEC(C$1)+1,2)&amp;CHAR(10)&amp;INDEX(OpCode!$A$2:$J$257,HEX2DEC($A17)*16+HEX2DEC(C$1)+1,3))</f>
        <v>POP
PSW</v>
      </c>
      <c r="D17" s="15" t="str">
        <f>TRIM(INDEX(OpCode!$A$2:$J$257,HEX2DEC($A17)*16+HEX2DEC(D$1)+1,2)&amp;CHAR(10)&amp;INDEX(OpCode!$A$2:$J$257,HEX2DEC($A17)*16+HEX2DEC(D$1)+1,3))</f>
        <v>JP
a16</v>
      </c>
      <c r="E17" s="15" t="str">
        <f>TRIM(INDEX(OpCode!$A$2:$J$257,HEX2DEC($A17)*16+HEX2DEC(E$1)+1,2)&amp;CHAR(10)&amp;INDEX(OpCode!$A$2:$J$257,HEX2DEC($A17)*16+HEX2DEC(E$1)+1,3))</f>
        <v xml:space="preserve">DI
</v>
      </c>
      <c r="F17" s="15" t="str">
        <f>TRIM(INDEX(OpCode!$A$2:$J$257,HEX2DEC($A17)*16+HEX2DEC(F$1)+1,2)&amp;CHAR(10)&amp;INDEX(OpCode!$A$2:$J$257,HEX2DEC($A17)*16+HEX2DEC(F$1)+1,3))</f>
        <v>CP
a16</v>
      </c>
      <c r="G17" s="15" t="str">
        <f>TRIM(INDEX(OpCode!$A$2:$J$257,HEX2DEC($A17)*16+HEX2DEC(G$1)+1,2)&amp;CHAR(10)&amp;INDEX(OpCode!$A$2:$J$257,HEX2DEC($A17)*16+HEX2DEC(G$1)+1,3))</f>
        <v>PUSH
PSW</v>
      </c>
      <c r="H17" s="15" t="str">
        <f>TRIM(INDEX(OpCode!$A$2:$J$257,HEX2DEC($A17)*16+HEX2DEC(H$1)+1,2)&amp;CHAR(10)&amp;INDEX(OpCode!$A$2:$J$257,HEX2DEC($A17)*16+HEX2DEC(H$1)+1,3))</f>
        <v>ORI
d8</v>
      </c>
      <c r="I17" s="15" t="str">
        <f>TRIM(INDEX(OpCode!$A$2:$J$257,HEX2DEC($A17)*16+HEX2DEC(I$1)+1,2)&amp;CHAR(10)&amp;INDEX(OpCode!$A$2:$J$257,HEX2DEC($A17)*16+HEX2DEC(I$1)+1,3))</f>
        <v>RST
6</v>
      </c>
      <c r="J17" s="15" t="str">
        <f>TRIM(INDEX(OpCode!$A$2:$J$257,HEX2DEC($A17)*16+HEX2DEC(J$1)+1,2)&amp;CHAR(10)&amp;INDEX(OpCode!$A$2:$J$257,HEX2DEC($A17)*16+HEX2DEC(J$1)+1,3))</f>
        <v xml:space="preserve">RM
</v>
      </c>
      <c r="K17" s="15" t="str">
        <f>TRIM(INDEX(OpCode!$A$2:$J$257,HEX2DEC($A17)*16+HEX2DEC(K$1)+1,2)&amp;CHAR(10)&amp;INDEX(OpCode!$A$2:$J$257,HEX2DEC($A17)*16+HEX2DEC(K$1)+1,3))</f>
        <v xml:space="preserve">SPHL
</v>
      </c>
      <c r="L17" s="15" t="str">
        <f>TRIM(INDEX(OpCode!$A$2:$J$257,HEX2DEC($A17)*16+HEX2DEC(L$1)+1,2)&amp;CHAR(10)&amp;INDEX(OpCode!$A$2:$J$257,HEX2DEC($A17)*16+HEX2DEC(L$1)+1,3))</f>
        <v>JM
a16</v>
      </c>
      <c r="M17" s="15" t="str">
        <f>TRIM(INDEX(OpCode!$A$2:$J$257,HEX2DEC($A17)*16+HEX2DEC(M$1)+1,2)&amp;CHAR(10)&amp;INDEX(OpCode!$A$2:$J$257,HEX2DEC($A17)*16+HEX2DEC(M$1)+1,3))</f>
        <v xml:space="preserve">EI
</v>
      </c>
      <c r="N17" s="15" t="str">
        <f>TRIM(INDEX(OpCode!$A$2:$J$257,HEX2DEC($A17)*16+HEX2DEC(N$1)+1,2)&amp;CHAR(10)&amp;INDEX(OpCode!$A$2:$J$257,HEX2DEC($A17)*16+HEX2DEC(N$1)+1,3))</f>
        <v>CM
a16</v>
      </c>
      <c r="O17" s="15" t="str">
        <f>TRIM(INDEX(OpCode!$A$2:$J$257,HEX2DEC($A17)*16+HEX2DEC(O$1)+1,2)&amp;CHAR(10)&amp;INDEX(OpCode!$A$2:$J$257,HEX2DEC($A17)*16+HEX2DEC(O$1)+1,3))</f>
        <v>JK
a16</v>
      </c>
      <c r="P17" s="15" t="str">
        <f>TRIM(INDEX(OpCode!$A$2:$J$257,HEX2DEC($A17)*16+HEX2DEC(P$1)+1,2)&amp;CHAR(10)&amp;INDEX(OpCode!$A$2:$J$257,HEX2DEC($A17)*16+HEX2DEC(P$1)+1,3))</f>
        <v>CPI
d8</v>
      </c>
      <c r="Q17" s="15" t="str">
        <f>TRIM(INDEX(OpCode!$A$2:$J$257,HEX2DEC($A17)*16+HEX2DEC(Q$1)+1,2)&amp;CHAR(10)&amp;INDEX(OpCode!$A$2:$J$257,HEX2DEC($A17)*16+HEX2DEC(Q$1)+1,3))</f>
        <v>RST
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40"/>
  <sheetViews>
    <sheetView workbookViewId="0">
      <selection activeCell="I29" sqref="I28:I29"/>
    </sheetView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8085</v>
      </c>
    </row>
    <row r="3" spans="1:1" x14ac:dyDescent="0.2">
      <c r="A3" s="5" t="s">
        <v>30</v>
      </c>
    </row>
    <row r="4" spans="1:1" x14ac:dyDescent="0.2">
      <c r="A4" s="5" t="str">
        <f>"* "&amp;Intro!B4</f>
        <v>* https://tobiasvl.github.io/optable/intel-8080/</v>
      </c>
    </row>
    <row r="5" spans="1:1" x14ac:dyDescent="0.2">
      <c r="A5" s="5" t="str">
        <f>"* "&amp;Intro!B5</f>
        <v>* http://www.emulator101.com/reference/8080-by-opcode.html</v>
      </c>
    </row>
    <row r="7" spans="1:1" x14ac:dyDescent="0.2">
      <c r="A7" s="5" t="s">
        <v>25</v>
      </c>
    </row>
    <row r="9" spans="1:1" x14ac:dyDescent="0.2">
      <c r="A9" s="5" t="s">
        <v>26</v>
      </c>
    </row>
    <row r="10" spans="1:1" x14ac:dyDescent="0.2">
      <c r="A10" s="5" t="s">
        <v>33</v>
      </c>
    </row>
    <row r="11" spans="1:1" x14ac:dyDescent="0.2">
      <c r="A11" s="5" t="s">
        <v>35</v>
      </c>
    </row>
    <row r="12" spans="1:1" x14ac:dyDescent="0.2">
      <c r="A12" s="5" t="str">
        <f>"| **"&amp;Intro!A8&amp;"** | "&amp;Intro!B8&amp;" |"</f>
        <v>| **A** | A 8 bit register |</v>
      </c>
    </row>
    <row r="13" spans="1:1" x14ac:dyDescent="0.2">
      <c r="A13" s="5" t="str">
        <f>"| **"&amp;Intro!A9&amp;"** | "&amp;Intro!B9&amp;" |"</f>
        <v>| **B** | B 8 bit register |</v>
      </c>
    </row>
    <row r="14" spans="1:1" x14ac:dyDescent="0.2">
      <c r="A14" s="5" t="str">
        <f>"| **"&amp;Intro!A10&amp;"** | "&amp;Intro!B10&amp;" |"</f>
        <v>| **C** | C 8 bit register |</v>
      </c>
    </row>
    <row r="15" spans="1:1" x14ac:dyDescent="0.2">
      <c r="A15" s="5" t="str">
        <f>"| **"&amp;Intro!A11&amp;"** | "&amp;Intro!B11&amp;" |"</f>
        <v>| **D** | D 8 bit register |</v>
      </c>
    </row>
    <row r="16" spans="1:1" x14ac:dyDescent="0.2">
      <c r="A16" s="5" t="str">
        <f>"| **"&amp;Intro!A12&amp;"** | "&amp;Intro!B12&amp;" |"</f>
        <v>| **E** | E 8 bit register |</v>
      </c>
    </row>
    <row r="17" spans="1:1" x14ac:dyDescent="0.2">
      <c r="A17" s="5" t="str">
        <f>"| **"&amp;Intro!A13&amp;"** | "&amp;Intro!B13&amp;" |"</f>
        <v>| **H** | H 8 bit register |</v>
      </c>
    </row>
    <row r="18" spans="1:1" x14ac:dyDescent="0.2">
      <c r="A18" s="5" t="str">
        <f>"| **"&amp;Intro!A14&amp;"** | "&amp;Intro!B14&amp;" |"</f>
        <v>| **L** | L 8 bit register |</v>
      </c>
    </row>
    <row r="19" spans="1:1" x14ac:dyDescent="0.2">
      <c r="A19" s="5" t="str">
        <f>"| ***"&amp;Intro!A15&amp;"*** | "&amp;Intro!B15&amp;" |"</f>
        <v>| ***SP*** | Stack pointer (16bit) |</v>
      </c>
    </row>
    <row r="20" spans="1:1" x14ac:dyDescent="0.2">
      <c r="A20" s="5" t="str">
        <f>"| ***"&amp;Intro!A16&amp;"*** | "&amp;Intro!B16&amp;" |"</f>
        <v>| ***PC*** | Program counter (16bit) |</v>
      </c>
    </row>
    <row r="21" spans="1:1" x14ac:dyDescent="0.2">
      <c r="A21" s="5" t="str">
        <f>"| *"&amp;Intro!A17&amp;"* | "&amp;Intro!B17&amp;" |"</f>
        <v>| *B* | BC as 16 bit register |</v>
      </c>
    </row>
    <row r="22" spans="1:1" x14ac:dyDescent="0.2">
      <c r="A22" s="5" t="str">
        <f>"| *"&amp;Intro!A18&amp;"* | "&amp;Intro!B18&amp;" |"</f>
        <v>| *D* | DE as 16 bit register |</v>
      </c>
    </row>
    <row r="23" spans="1:1" x14ac:dyDescent="0.2">
      <c r="A23" s="5" t="str">
        <f>"| *"&amp;Intro!A19&amp;"* | "&amp;Intro!B19&amp;" |"</f>
        <v>| *H* | HL as 16 bit register |</v>
      </c>
    </row>
    <row r="24" spans="1:1" x14ac:dyDescent="0.2">
      <c r="A24" s="5" t="str">
        <f>"| *"&amp;Intro!A20&amp;"* | "&amp;Intro!B20&amp;" |"</f>
        <v>| *M* | memory pointed by (HL) |</v>
      </c>
    </row>
    <row r="26" spans="1:1" x14ac:dyDescent="0.2">
      <c r="A26" s="5" t="s">
        <v>27</v>
      </c>
    </row>
    <row r="27" spans="1:1" x14ac:dyDescent="0.2">
      <c r="A27" s="5" t="s">
        <v>36</v>
      </c>
    </row>
    <row r="28" spans="1:1" x14ac:dyDescent="0.2">
      <c r="A28" s="5" t="s">
        <v>37</v>
      </c>
    </row>
    <row r="29" spans="1:1" x14ac:dyDescent="0.2">
      <c r="A29" s="5" t="str">
        <f>"| **"&amp;Intro!D8&amp;"** | "&amp;Intro!E8&amp;" |"</f>
        <v>| **S** | Sign flag; set to bit 7 of result |</v>
      </c>
    </row>
    <row r="30" spans="1:1" x14ac:dyDescent="0.2">
      <c r="A30" s="5" t="str">
        <f>"| **"&amp;Intro!D9&amp;"** | "&amp;Intro!E9&amp;" |"</f>
        <v>| **Z** | Zero flag; set if the result was zero, reset otherwise |</v>
      </c>
    </row>
    <row r="31" spans="1:1" x14ac:dyDescent="0.2">
      <c r="A31" s="5" t="str">
        <f>"| **"&amp;Intro!D10&amp;"** | "&amp;Intro!E10&amp;" |"</f>
        <v>| **K** | Undocumented signed Underflow Indicator (UI/X5) and comparison flag |</v>
      </c>
    </row>
    <row r="32" spans="1:1" x14ac:dyDescent="0.2">
      <c r="A32" s="5" t="str">
        <f>"| **"&amp;Intro!D11&amp;"** | "&amp;Intro!E11&amp;" |"</f>
        <v>| **A** | Auxiliary Carry (AC) flag; set to carry out of bit 3 in result |</v>
      </c>
    </row>
    <row r="33" spans="1:1" x14ac:dyDescent="0.2">
      <c r="A33" s="5" t="str">
        <f>"| **"&amp;Intro!D12&amp;"** | "&amp;Intro!E12&amp;" |"</f>
        <v>| **P** | Parity flag; set if the number of bits in the result is even, and reset if it's odd |</v>
      </c>
    </row>
    <row r="34" spans="1:1" x14ac:dyDescent="0.2">
      <c r="A34" s="5" t="str">
        <f>"| **"&amp;Intro!D13&amp;"** | "&amp;Intro!E13&amp;" |"</f>
        <v>| **V** | Undocumented signed overflow flag |</v>
      </c>
    </row>
    <row r="35" spans="1:1" x14ac:dyDescent="0.2">
      <c r="A35" s="5" t="str">
        <f>"| **"&amp;Intro!D14&amp;"** | "&amp;Intro!E14&amp;" |"</f>
        <v>| **C** | Carry flag; set to carry out of bit 7 in result |</v>
      </c>
    </row>
    <row r="37" spans="1:1" x14ac:dyDescent="0.2">
      <c r="A37" s="5" t="s">
        <v>38</v>
      </c>
    </row>
    <row r="38" spans="1:1" x14ac:dyDescent="0.2">
      <c r="A38" s="5" t="s">
        <v>39</v>
      </c>
    </row>
    <row r="39" spans="1:1" x14ac:dyDescent="0.2">
      <c r="A39" s="5" t="s">
        <v>819</v>
      </c>
    </row>
    <row r="40" spans="1:1" x14ac:dyDescent="0.2">
      <c r="A40" s="5" t="str">
        <f>"| **"&amp;Intro!G8&amp;"** | "&amp;Intro!H8&amp;" |"</f>
        <v>| **abs** | absolute address |</v>
      </c>
    </row>
    <row r="41" spans="1:1" x14ac:dyDescent="0.2">
      <c r="A41" s="5" t="str">
        <f>"| **"&amp;Intro!G9&amp;"** | "&amp;Intro!H9&amp;" |"</f>
        <v>| **imm** | immediate (8 or 16bit) |</v>
      </c>
    </row>
    <row r="42" spans="1:1" x14ac:dyDescent="0.2">
      <c r="A42" s="5" t="str">
        <f>"| **"&amp;Intro!G10&amp;"** | "&amp;Intro!H10&amp;" |"</f>
        <v>| **imp** | implicit |</v>
      </c>
    </row>
    <row r="43" spans="1:1" x14ac:dyDescent="0.2">
      <c r="A43" s="5" t="str">
        <f>"| **"&amp;Intro!G11&amp;"** | "&amp;Intro!H11&amp;" |"</f>
        <v>| **ind_reg** | indirect via register |</v>
      </c>
    </row>
    <row r="44" spans="1:1" x14ac:dyDescent="0.2">
      <c r="A44" s="5" t="str">
        <f>"| **"&amp;Intro!G12&amp;"** | "&amp;Intro!H12&amp;" |"</f>
        <v>| **reg** | register or register pair |</v>
      </c>
    </row>
    <row r="46" spans="1:1" x14ac:dyDescent="0.2">
      <c r="A46" s="5" t="s">
        <v>1007</v>
      </c>
    </row>
    <row r="47" spans="1:1" x14ac:dyDescent="0.2">
      <c r="A47" s="5" t="s">
        <v>1008</v>
      </c>
    </row>
    <row r="48" spans="1:1" x14ac:dyDescent="0.2">
      <c r="A48" s="5" t="s">
        <v>819</v>
      </c>
    </row>
    <row r="49" spans="1:1" x14ac:dyDescent="0.2">
      <c r="A49" s="5" t="str">
        <f>"| **"&amp;Intro!G16&amp;"** | "&amp;Intro!H16&amp;" |"</f>
        <v>| **arith** |  Arithmetic instructions  |</v>
      </c>
    </row>
    <row r="50" spans="1:1" x14ac:dyDescent="0.2">
      <c r="A50" s="5" t="str">
        <f>"| **"&amp;Intro!G17&amp;"** | "&amp;Intro!H17&amp;" |"</f>
        <v>| **branch** |  Branch and program flow instructions  |</v>
      </c>
    </row>
    <row r="51" spans="1:1" x14ac:dyDescent="0.2">
      <c r="A51" s="5" t="str">
        <f>"| **"&amp;Intro!G18&amp;"** | "&amp;Intro!H18&amp;" |"</f>
        <v>| **control** |  I/O and machine control instructions  |</v>
      </c>
    </row>
    <row r="52" spans="1:1" x14ac:dyDescent="0.2">
      <c r="A52" s="5" t="str">
        <f>"| **"&amp;Intro!G19&amp;"** | "&amp;Intro!H19&amp;" |"</f>
        <v>| **data** |  Data transfer instructions  |</v>
      </c>
    </row>
    <row r="53" spans="1:1" x14ac:dyDescent="0.2">
      <c r="A53" s="5" t="str">
        <f>"| **"&amp;Intro!G20&amp;"** | "&amp;Intro!H20&amp;" |"</f>
        <v>| **illegal** | Illegal/undocumented instructions  |</v>
      </c>
    </row>
    <row r="54" spans="1:1" x14ac:dyDescent="0.2">
      <c r="A54" s="5" t="str">
        <f>"| **"&amp;Intro!G21&amp;"** | "&amp;Intro!H21&amp;" |"</f>
        <v>| **logic** |  Logical instructions |</v>
      </c>
    </row>
    <row r="55" spans="1:1" x14ac:dyDescent="0.2">
      <c r="A55" s="5" t="str">
        <f>"| **"&amp;Intro!G22&amp;"** | "&amp;Intro!H22&amp;" |"</f>
        <v>| **stack** |  Stack instructions  |</v>
      </c>
    </row>
    <row r="57" spans="1:1" x14ac:dyDescent="0.2">
      <c r="A57" s="5" t="s">
        <v>22</v>
      </c>
    </row>
    <row r="59" spans="1:1" x14ac:dyDescent="0.2">
      <c r="A59" s="5" t="s">
        <v>28</v>
      </c>
    </row>
    <row r="60" spans="1:1" ht="10.5" customHeight="1" x14ac:dyDescent="0.2">
      <c r="A60" s="5" t="str">
        <f>"| "&amp;OpCode!A1&amp;" | "&amp;OpCode!B1&amp;" | "&amp;OpCode!C1&amp;" | "&amp;OpCode!D1&amp;" | "&amp;OpCode!E1&amp;" | "&amp;OpCode!F1&amp;" | "&amp;OpCode!G1&amp;" | "&amp;OpCode!H1&amp;" | ```"&amp;OpCode!I1&amp;"``` | "&amp;OpCode!J1&amp;" |"&amp;OpCode!K1&amp;" |"</f>
        <v>| OpCode | Inst | Param | Group | Mode | Length | Cycles | States | ```SZKA-PVC``` | Example |Description |</v>
      </c>
    </row>
    <row r="61" spans="1:1" x14ac:dyDescent="0.2">
      <c r="A61" s="9" t="s">
        <v>1009</v>
      </c>
    </row>
    <row r="62" spans="1:1" x14ac:dyDescent="0.2">
      <c r="A62" s="5" t="str">
        <f>"| "&amp;OpCode!A2&amp;" | "&amp;OpCode!B2&amp;" | "&amp;OpCode!C2&amp;" | "&amp;OpCode!D2&amp;" | "&amp;OpCode!E2&amp;" | "&amp;OpCode!F2&amp;" | "&amp;SUBSTITUTE(OpCode!G2,"|","/")&amp;" | "&amp;SUBSTITUTE(OpCode!H2,"|","/")&amp;" | ```"&amp;OpCode!I2&amp;"``` | "&amp;OpCode!J2&amp;" |"&amp;OpCode!K2&amp;" |"</f>
        <v>| 00 | NOP |  | control | imp | 1 | 1 | 4 | ```........``` | NOP |No Operation |</v>
      </c>
    </row>
    <row r="63" spans="1:1" x14ac:dyDescent="0.2">
      <c r="A63" s="5" t="str">
        <f>"| "&amp;OpCode!A3&amp;" | "&amp;OpCode!B3&amp;" | "&amp;OpCode!C3&amp;" | "&amp;OpCode!D3&amp;" | "&amp;OpCode!E3&amp;" | "&amp;OpCode!F3&amp;" | "&amp;SUBSTITUTE(OpCode!G3,"|","/")&amp;" | "&amp;SUBSTITUTE(OpCode!H3,"|","/")&amp;" | ```"&amp;OpCode!I3&amp;"``` | "&amp;OpCode!J3&amp;" |"&amp;OpCode!K3&amp;" |"</f>
        <v>| 01 | LXI | B,d16 | data | imm | 3 | 3 | 10 | ```........``` | LXI B, d16 |B &lt;- byte_3; C &lt;- byte_2 |</v>
      </c>
    </row>
    <row r="64" spans="1:1" x14ac:dyDescent="0.2">
      <c r="A64" s="5" t="str">
        <f>"| "&amp;OpCode!A4&amp;" | "&amp;OpCode!B4&amp;" | "&amp;OpCode!C4&amp;" | "&amp;OpCode!D4&amp;" | "&amp;OpCode!E4&amp;" | "&amp;OpCode!F4&amp;" | "&amp;SUBSTITUTE(OpCode!G4,"|","/")&amp;" | "&amp;SUBSTITUTE(OpCode!H4,"|","/")&amp;" | ```"&amp;OpCode!I4&amp;"``` | "&amp;OpCode!J4&amp;" |"&amp;OpCode!K4&amp;" |"</f>
        <v>| 02 | STAX | B | data | ind_reg | 1 | 2 | 7 | ```........``` | STAX B |(BC) &lt;- A |</v>
      </c>
    </row>
    <row r="65" spans="1:1" x14ac:dyDescent="0.2">
      <c r="A65" s="5" t="str">
        <f>"| "&amp;OpCode!A5&amp;" | "&amp;OpCode!B5&amp;" | "&amp;OpCode!C5&amp;" | "&amp;OpCode!D5&amp;" | "&amp;OpCode!E5&amp;" | "&amp;OpCode!F5&amp;" | "&amp;SUBSTITUTE(OpCode!G5,"|","/")&amp;" | "&amp;SUBSTITUTE(OpCode!H5,"|","/")&amp;" | ```"&amp;OpCode!I5&amp;"``` | "&amp;OpCode!J5&amp;" |"&amp;OpCode!K5&amp;" |"</f>
        <v>| 03 | INX | B | arith | reg | 1 | 1 | 6 | ```..K.....``` | INX B |BC &lt;- BC + 1 |</v>
      </c>
    </row>
    <row r="66" spans="1:1" x14ac:dyDescent="0.2">
      <c r="A66" s="5" t="str">
        <f>"| "&amp;OpCode!A6&amp;" | "&amp;OpCode!B6&amp;" | "&amp;OpCode!C6&amp;" | "&amp;OpCode!D6&amp;" | "&amp;OpCode!E6&amp;" | "&amp;OpCode!F6&amp;" | "&amp;SUBSTITUTE(OpCode!G6,"|","/")&amp;" | "&amp;SUBSTITUTE(OpCode!H6,"|","/")&amp;" | ```"&amp;OpCode!I6&amp;"``` | "&amp;OpCode!J6&amp;" |"&amp;OpCode!K6&amp;" |"</f>
        <v>| 04 | INR | B | arith | reg | 1 | 1 | 4 | ```SZKA.PV.``` | INR B |B &lt;- B + 1 |</v>
      </c>
    </row>
    <row r="67" spans="1:1" x14ac:dyDescent="0.2">
      <c r="A67" s="5" t="str">
        <f>"| "&amp;OpCode!A7&amp;" | "&amp;OpCode!B7&amp;" | "&amp;OpCode!C7&amp;" | "&amp;OpCode!D7&amp;" | "&amp;OpCode!E7&amp;" | "&amp;OpCode!F7&amp;" | "&amp;SUBSTITUTE(OpCode!G7,"|","/")&amp;" | "&amp;SUBSTITUTE(OpCode!H7,"|","/")&amp;" | ```"&amp;OpCode!I7&amp;"``` | "&amp;OpCode!J7&amp;" |"&amp;OpCode!K7&amp;" |"</f>
        <v>| 05 | DCR | B | arith | reg | 1 | 1 | 4 | ```SZ.A.PV.``` | DCR B |B &lt;- B - 1 |</v>
      </c>
    </row>
    <row r="68" spans="1:1" x14ac:dyDescent="0.2">
      <c r="A68" s="5" t="str">
        <f>"| "&amp;OpCode!A8&amp;" | "&amp;OpCode!B8&amp;" | "&amp;OpCode!C8&amp;" | "&amp;OpCode!D8&amp;" | "&amp;OpCode!E8&amp;" | "&amp;OpCode!F8&amp;" | "&amp;SUBSTITUTE(OpCode!G8,"|","/")&amp;" | "&amp;SUBSTITUTE(OpCode!H8,"|","/")&amp;" | ```"&amp;OpCode!I8&amp;"``` | "&amp;OpCode!J8&amp;" |"&amp;OpCode!K8&amp;" |"</f>
        <v>| 06 | MVI | B,d8 | data | imm | 2 | 2 | 7 | ```........``` | MVI B, d8 |B &lt;- byte_2 |</v>
      </c>
    </row>
    <row r="69" spans="1:1" x14ac:dyDescent="0.2">
      <c r="A69" s="5" t="str">
        <f>"| "&amp;OpCode!A9&amp;" | "&amp;OpCode!B9&amp;" | "&amp;OpCode!C9&amp;" | "&amp;OpCode!D9&amp;" | "&amp;OpCode!E9&amp;" | "&amp;OpCode!F9&amp;" | "&amp;SUBSTITUTE(OpCode!G9,"|","/")&amp;" | "&amp;SUBSTITUTE(OpCode!H9,"|","/")&amp;" | ```"&amp;OpCode!I9&amp;"``` | "&amp;OpCode!J9&amp;" |"&amp;OpCode!K9&amp;" |"</f>
        <v>| 07 | RLC |  | logic | imp | 1 | 1 | 4 | ```......VC``` | RLC |A &lt;- A &lt;&lt; 1; bit 0 &lt;- prev bit 7; CY &lt;- prev bit 7 |</v>
      </c>
    </row>
    <row r="70" spans="1:1" x14ac:dyDescent="0.2">
      <c r="A70" s="5" t="str">
        <f>"| "&amp;OpCode!A10&amp;" | "&amp;OpCode!B10&amp;" | "&amp;OpCode!C10&amp;" | "&amp;OpCode!D10&amp;" | "&amp;OpCode!E10&amp;" | "&amp;OpCode!F10&amp;" | "&amp;SUBSTITUTE(OpCode!G10,"|","/")&amp;" | "&amp;SUBSTITUTE(OpCode!H10,"|","/")&amp;" | ```"&amp;OpCode!I10&amp;"``` | "&amp;OpCode!J10&amp;" |"&amp;OpCode!K10&amp;" |"</f>
        <v>| 08 | DSUB |  | arith | reg | 1 | 3 | 10 | ```SZKA.PVC``` | DSUB |HL &lt;- HL - BC |</v>
      </c>
    </row>
    <row r="71" spans="1:1" x14ac:dyDescent="0.2">
      <c r="A71" s="5" t="str">
        <f>"| "&amp;OpCode!A11&amp;" | "&amp;OpCode!B11&amp;" | "&amp;OpCode!C11&amp;" | "&amp;OpCode!D11&amp;" | "&amp;OpCode!E11&amp;" | "&amp;OpCode!F11&amp;" | "&amp;SUBSTITUTE(OpCode!G11,"|","/")&amp;" | "&amp;SUBSTITUTE(OpCode!H11,"|","/")&amp;" | ```"&amp;OpCode!I11&amp;"``` | "&amp;OpCode!J11&amp;" |"&amp;OpCode!K11&amp;" |"</f>
        <v>| 09 | DAD | B | arith | reg | 1 | 3 | 10 | ```......VC``` | DAD B |HL &lt;- HL + BC |</v>
      </c>
    </row>
    <row r="72" spans="1:1" x14ac:dyDescent="0.2">
      <c r="A72" s="5" t="str">
        <f>"| "&amp;OpCode!A12&amp;" | "&amp;OpCode!B12&amp;" | "&amp;OpCode!C12&amp;" | "&amp;OpCode!D12&amp;" | "&amp;OpCode!E12&amp;" | "&amp;OpCode!F12&amp;" | "&amp;SUBSTITUTE(OpCode!G12,"|","/")&amp;" | "&amp;SUBSTITUTE(OpCode!H12,"|","/")&amp;" | ```"&amp;OpCode!I12&amp;"``` | "&amp;OpCode!J12&amp;" |"&amp;OpCode!K12&amp;" |"</f>
        <v>| 0A | LDAX | B | data | ind_reg | 1 | 2 | 7 | ```........``` | LDAX B |A &lt;- (BC) |</v>
      </c>
    </row>
    <row r="73" spans="1:1" x14ac:dyDescent="0.2">
      <c r="A73" s="5" t="str">
        <f>"| "&amp;OpCode!A13&amp;" | "&amp;OpCode!B13&amp;" | "&amp;OpCode!C13&amp;" | "&amp;OpCode!D13&amp;" | "&amp;OpCode!E13&amp;" | "&amp;OpCode!F13&amp;" | "&amp;SUBSTITUTE(OpCode!G13,"|","/")&amp;" | "&amp;SUBSTITUTE(OpCode!H13,"|","/")&amp;" | ```"&amp;OpCode!I13&amp;"``` | "&amp;OpCode!J13&amp;" |"&amp;OpCode!K13&amp;" |"</f>
        <v>| 0B | DCX | B | arith | reg | 1 | 1 | 6 | ```..K.....``` | DCX B |BC &lt;- BC - 1 |</v>
      </c>
    </row>
    <row r="74" spans="1:1" x14ac:dyDescent="0.2">
      <c r="A74" s="5" t="str">
        <f>"| "&amp;OpCode!A14&amp;" | "&amp;OpCode!B14&amp;" | "&amp;OpCode!C14&amp;" | "&amp;OpCode!D14&amp;" | "&amp;OpCode!E14&amp;" | "&amp;OpCode!F14&amp;" | "&amp;SUBSTITUTE(OpCode!G14,"|","/")&amp;" | "&amp;SUBSTITUTE(OpCode!H14,"|","/")&amp;" | ```"&amp;OpCode!I14&amp;"``` | "&amp;OpCode!J14&amp;" |"&amp;OpCode!K14&amp;" |"</f>
        <v>| 0C | INR | C | arith | reg | 1 | 1 | 4 | ```SZKA.PV.``` | INR C |C &lt;- C + 1 |</v>
      </c>
    </row>
    <row r="75" spans="1:1" x14ac:dyDescent="0.2">
      <c r="A75" s="5" t="str">
        <f>"| "&amp;OpCode!A15&amp;" | "&amp;OpCode!B15&amp;" | "&amp;OpCode!C15&amp;" | "&amp;OpCode!D15&amp;" | "&amp;OpCode!E15&amp;" | "&amp;OpCode!F15&amp;" | "&amp;SUBSTITUTE(OpCode!G15,"|","/")&amp;" | "&amp;SUBSTITUTE(OpCode!H15,"|","/")&amp;" | ```"&amp;OpCode!I15&amp;"``` | "&amp;OpCode!J15&amp;" |"&amp;OpCode!K15&amp;" |"</f>
        <v>| 0D | DCR | C | arith | reg | 1 | 1 | 4 | ```SZ.A.PV.``` | DCR C |C &lt;- C - 1 |</v>
      </c>
    </row>
    <row r="76" spans="1:1" x14ac:dyDescent="0.2">
      <c r="A76" s="5" t="str">
        <f>"| "&amp;OpCode!A16&amp;" | "&amp;OpCode!B16&amp;" | "&amp;OpCode!C16&amp;" | "&amp;OpCode!D16&amp;" | "&amp;OpCode!E16&amp;" | "&amp;OpCode!F16&amp;" | "&amp;SUBSTITUTE(OpCode!G16,"|","/")&amp;" | "&amp;SUBSTITUTE(OpCode!H16,"|","/")&amp;" | ```"&amp;OpCode!I16&amp;"``` | "&amp;OpCode!J16&amp;" |"&amp;OpCode!K16&amp;" |"</f>
        <v>| 0E | MVI | C,d8 | data | imm | 2 | 2 | 7 | ```........``` | MVI C, d8 |C &lt;- byte_2 |</v>
      </c>
    </row>
    <row r="77" spans="1:1" x14ac:dyDescent="0.2">
      <c r="A77" s="5" t="str">
        <f>"| "&amp;OpCode!A17&amp;" | "&amp;OpCode!B17&amp;" | "&amp;OpCode!C17&amp;" | "&amp;OpCode!D17&amp;" | "&amp;OpCode!E17&amp;" | "&amp;OpCode!F17&amp;" | "&amp;SUBSTITUTE(OpCode!G17,"|","/")&amp;" | "&amp;SUBSTITUTE(OpCode!H17,"|","/")&amp;" | ```"&amp;OpCode!I17&amp;"``` | "&amp;OpCode!J17&amp;" |"&amp;OpCode!K17&amp;" |"</f>
        <v>| 0F | RRC |  | logic | imp | 1 | 1 | 4 | ```......0C``` | RRC |A &lt;- A &gt;&gt; 1; bit 7 &lt;- prev bit 0; CY &lt;- prev bit 0 |</v>
      </c>
    </row>
    <row r="78" spans="1:1" x14ac:dyDescent="0.2">
      <c r="A78" s="5" t="str">
        <f>"| "&amp;OpCode!A18&amp;" | "&amp;OpCode!B18&amp;" | "&amp;OpCode!C18&amp;" | "&amp;OpCode!D18&amp;" | "&amp;OpCode!E18&amp;" | "&amp;OpCode!F18&amp;" | "&amp;SUBSTITUTE(OpCode!G18,"|","/")&amp;" | "&amp;SUBSTITUTE(OpCode!H18,"|","/")&amp;" | ```"&amp;OpCode!I18&amp;"``` | "&amp;OpCode!J18&amp;" |"&amp;OpCode!K18&amp;" |"</f>
        <v>| 10 | ARHL |  | logic | reg | 1 | 2 | 7 | ```.......C``` | ARHL |Cy &lt;- H7 ; HL &lt;- HL &gt;&gt; 1 ; H7 &lt;- Cy |</v>
      </c>
    </row>
    <row r="79" spans="1:1" x14ac:dyDescent="0.2">
      <c r="A79" s="5" t="str">
        <f>"| "&amp;OpCode!A19&amp;" | "&amp;OpCode!B19&amp;" | "&amp;OpCode!C19&amp;" | "&amp;OpCode!D19&amp;" | "&amp;OpCode!E19&amp;" | "&amp;OpCode!F19&amp;" | "&amp;SUBSTITUTE(OpCode!G19,"|","/")&amp;" | "&amp;SUBSTITUTE(OpCode!H19,"|","/")&amp;" | ```"&amp;OpCode!I19&amp;"``` | "&amp;OpCode!J19&amp;" |"&amp;OpCode!K19&amp;" |"</f>
        <v>| 11 | LXI | D,d16 | data | imm | 3 | 3 | 10 | ```........``` | LXI D, d16 |D &lt;- byte_3; E &lt;- byte_2 |</v>
      </c>
    </row>
    <row r="80" spans="1:1" x14ac:dyDescent="0.2">
      <c r="A80" s="5" t="str">
        <f>"| "&amp;OpCode!A20&amp;" | "&amp;OpCode!B20&amp;" | "&amp;OpCode!C20&amp;" | "&amp;OpCode!D20&amp;" | "&amp;OpCode!E20&amp;" | "&amp;OpCode!F20&amp;" | "&amp;SUBSTITUTE(OpCode!G20,"|","/")&amp;" | "&amp;SUBSTITUTE(OpCode!H20,"|","/")&amp;" | ```"&amp;OpCode!I20&amp;"``` | "&amp;OpCode!J20&amp;" |"&amp;OpCode!K20&amp;" |"</f>
        <v>| 12 | STAX | D | data | ind_reg | 1 | 2 | 7 | ```........``` | STAX D |(DE) &lt;- A |</v>
      </c>
    </row>
    <row r="81" spans="1:1" x14ac:dyDescent="0.2">
      <c r="A81" s="5" t="str">
        <f>"| "&amp;OpCode!A21&amp;" | "&amp;OpCode!B21&amp;" | "&amp;OpCode!C21&amp;" | "&amp;OpCode!D21&amp;" | "&amp;OpCode!E21&amp;" | "&amp;OpCode!F21&amp;" | "&amp;SUBSTITUTE(OpCode!G21,"|","/")&amp;" | "&amp;SUBSTITUTE(OpCode!H21,"|","/")&amp;" | ```"&amp;OpCode!I21&amp;"``` | "&amp;OpCode!J21&amp;" |"&amp;OpCode!K21&amp;" |"</f>
        <v>| 13 | INX | D | arith | reg | 1 | 1 | 6 | ```..K.....``` | INX D |DE &lt;- DE + 1 |</v>
      </c>
    </row>
    <row r="82" spans="1:1" x14ac:dyDescent="0.2">
      <c r="A82" s="5" t="str">
        <f>"| "&amp;OpCode!A22&amp;" | "&amp;OpCode!B22&amp;" | "&amp;OpCode!C22&amp;" | "&amp;OpCode!D22&amp;" | "&amp;OpCode!E22&amp;" | "&amp;OpCode!F22&amp;" | "&amp;SUBSTITUTE(OpCode!G22,"|","/")&amp;" | "&amp;SUBSTITUTE(OpCode!H22,"|","/")&amp;" | ```"&amp;OpCode!I22&amp;"``` | "&amp;OpCode!J22&amp;" |"&amp;OpCode!K22&amp;" |"</f>
        <v>| 14 | INR | D | arith | reg | 1 | 1 | 4 | ```SZKA.PV.``` | INR D |D &lt;- D + 1 |</v>
      </c>
    </row>
    <row r="83" spans="1:1" x14ac:dyDescent="0.2">
      <c r="A83" s="5" t="str">
        <f>"| "&amp;OpCode!A23&amp;" | "&amp;OpCode!B23&amp;" | "&amp;OpCode!C23&amp;" | "&amp;OpCode!D23&amp;" | "&amp;OpCode!E23&amp;" | "&amp;OpCode!F23&amp;" | "&amp;SUBSTITUTE(OpCode!G23,"|","/")&amp;" | "&amp;SUBSTITUTE(OpCode!H23,"|","/")&amp;" | ```"&amp;OpCode!I23&amp;"``` | "&amp;OpCode!J23&amp;" |"&amp;OpCode!K23&amp;" |"</f>
        <v>| 15 | DCR | D | arith | reg | 1 | 1 | 4 | ```SZ.A.PV.``` | DCR D |D &lt;- D - 1 |</v>
      </c>
    </row>
    <row r="84" spans="1:1" x14ac:dyDescent="0.2">
      <c r="A84" s="5" t="str">
        <f>"| "&amp;OpCode!A24&amp;" | "&amp;OpCode!B24&amp;" | "&amp;OpCode!C24&amp;" | "&amp;OpCode!D24&amp;" | "&amp;OpCode!E24&amp;" | "&amp;OpCode!F24&amp;" | "&amp;SUBSTITUTE(OpCode!G24,"|","/")&amp;" | "&amp;SUBSTITUTE(OpCode!H24,"|","/")&amp;" | ```"&amp;OpCode!I24&amp;"``` | "&amp;OpCode!J24&amp;" |"&amp;OpCode!K24&amp;" |"</f>
        <v>| 16 | MVI | D,d8 | data | imm | 2 | 2 | 7 | ```........``` | MVI D, d8 |D &lt;- byte_2 |</v>
      </c>
    </row>
    <row r="85" spans="1:1" x14ac:dyDescent="0.2">
      <c r="A85" s="5" t="str">
        <f>"| "&amp;OpCode!A25&amp;" | "&amp;OpCode!B25&amp;" | "&amp;OpCode!C25&amp;" | "&amp;OpCode!D25&amp;" | "&amp;OpCode!E25&amp;" | "&amp;OpCode!F25&amp;" | "&amp;SUBSTITUTE(OpCode!G25,"|","/")&amp;" | "&amp;SUBSTITUTE(OpCode!H25,"|","/")&amp;" | ```"&amp;OpCode!I25&amp;"``` | "&amp;OpCode!J25&amp;" |"&amp;OpCode!K25&amp;" |"</f>
        <v>| 17 | RAL |  | logic | imp | 1 | 1 | 4 | ```......VC``` | RAL |A &lt;- A &lt;&lt; 1; bit 0 &lt;- prev CY; CY &lt;- prev bit 7 |</v>
      </c>
    </row>
    <row r="86" spans="1:1" x14ac:dyDescent="0.2">
      <c r="A86" s="5" t="str">
        <f>"| "&amp;OpCode!A26&amp;" | "&amp;OpCode!B26&amp;" | "&amp;OpCode!C26&amp;" | "&amp;OpCode!D26&amp;" | "&amp;OpCode!E26&amp;" | "&amp;OpCode!F26&amp;" | "&amp;SUBSTITUTE(OpCode!G26,"|","/")&amp;" | "&amp;SUBSTITUTE(OpCode!H26,"|","/")&amp;" | ```"&amp;OpCode!I26&amp;"``` | "&amp;OpCode!J26&amp;" |"&amp;OpCode!K26&amp;" |"</f>
        <v>| 18 | RDEL |  | logic | reg | 1 | 3 | 10 | ```......VC``` | RDEL |Cy &lt;- D7 ; DE &lt;- DE &lt;&lt; 1; E0 &lt;- 0 |</v>
      </c>
    </row>
    <row r="87" spans="1:1" x14ac:dyDescent="0.2">
      <c r="A87" s="5" t="str">
        <f>"| "&amp;OpCode!A27&amp;" | "&amp;OpCode!B27&amp;" | "&amp;OpCode!C27&amp;" | "&amp;OpCode!D27&amp;" | "&amp;OpCode!E27&amp;" | "&amp;OpCode!F27&amp;" | "&amp;SUBSTITUTE(OpCode!G27,"|","/")&amp;" | "&amp;SUBSTITUTE(OpCode!H27,"|","/")&amp;" | ```"&amp;OpCode!I27&amp;"``` | "&amp;OpCode!J27&amp;" |"&amp;OpCode!K27&amp;" |"</f>
        <v>| 19 | DAD | D | arith | reg | 1 | 3 | 10 | ```......VC``` | DAD D |HL &lt;- HL + DE |</v>
      </c>
    </row>
    <row r="88" spans="1:1" x14ac:dyDescent="0.2">
      <c r="A88" s="5" t="str">
        <f>"| "&amp;OpCode!A28&amp;" | "&amp;OpCode!B28&amp;" | "&amp;OpCode!C28&amp;" | "&amp;OpCode!D28&amp;" | "&amp;OpCode!E28&amp;" | "&amp;OpCode!F28&amp;" | "&amp;SUBSTITUTE(OpCode!G28,"|","/")&amp;" | "&amp;SUBSTITUTE(OpCode!H28,"|","/")&amp;" | ```"&amp;OpCode!I28&amp;"``` | "&amp;OpCode!J28&amp;" |"&amp;OpCode!K28&amp;" |"</f>
        <v>| 1A | LDAX | D | data | ind_reg | 1 | 2 | 7 | ```........``` | LDAX D |A &lt;- (DE) |</v>
      </c>
    </row>
    <row r="89" spans="1:1" x14ac:dyDescent="0.2">
      <c r="A89" s="5" t="str">
        <f>"| "&amp;OpCode!A29&amp;" | "&amp;OpCode!B29&amp;" | "&amp;OpCode!C29&amp;" | "&amp;OpCode!D29&amp;" | "&amp;OpCode!E29&amp;" | "&amp;OpCode!F29&amp;" | "&amp;SUBSTITUTE(OpCode!G29,"|","/")&amp;" | "&amp;SUBSTITUTE(OpCode!H29,"|","/")&amp;" | ```"&amp;OpCode!I29&amp;"``` | "&amp;OpCode!J29&amp;" |"&amp;OpCode!K29&amp;" |"</f>
        <v>| 1B | DCX | D | arith | reg | 1 | 1 | 6 | ```..K.....``` | DCX D |DE &lt;- DE - 1 |</v>
      </c>
    </row>
    <row r="90" spans="1:1" x14ac:dyDescent="0.2">
      <c r="A90" s="5" t="str">
        <f>"| "&amp;OpCode!A30&amp;" | "&amp;OpCode!B30&amp;" | "&amp;OpCode!C30&amp;" | "&amp;OpCode!D30&amp;" | "&amp;OpCode!E30&amp;" | "&amp;OpCode!F30&amp;" | "&amp;SUBSTITUTE(OpCode!G30,"|","/")&amp;" | "&amp;SUBSTITUTE(OpCode!H30,"|","/")&amp;" | ```"&amp;OpCode!I30&amp;"``` | "&amp;OpCode!J30&amp;" |"&amp;OpCode!K30&amp;" |"</f>
        <v>| 1C | INR | E | arith | reg | 1 | 1 | 4 | ```SZKA.PV.``` | INR E |E &lt;- E + 1 |</v>
      </c>
    </row>
    <row r="91" spans="1:1" x14ac:dyDescent="0.2">
      <c r="A91" s="5" t="str">
        <f>"| "&amp;OpCode!A31&amp;" | "&amp;OpCode!B31&amp;" | "&amp;OpCode!C31&amp;" | "&amp;OpCode!D31&amp;" | "&amp;OpCode!E31&amp;" | "&amp;OpCode!F31&amp;" | "&amp;SUBSTITUTE(OpCode!G31,"|","/")&amp;" | "&amp;SUBSTITUTE(OpCode!H31,"|","/")&amp;" | ```"&amp;OpCode!I31&amp;"``` | "&amp;OpCode!J31&amp;" |"&amp;OpCode!K31&amp;" |"</f>
        <v>| 1D | DCR | E | arith | reg | 1 | 1 | 4 | ```SZ.A.PV.``` | DCR E |E &lt;- E - 1 |</v>
      </c>
    </row>
    <row r="92" spans="1:1" x14ac:dyDescent="0.2">
      <c r="A92" s="5" t="str">
        <f>"| "&amp;OpCode!A32&amp;" | "&amp;OpCode!B32&amp;" | "&amp;OpCode!C32&amp;" | "&amp;OpCode!D32&amp;" | "&amp;OpCode!E32&amp;" | "&amp;OpCode!F32&amp;" | "&amp;SUBSTITUTE(OpCode!G32,"|","/")&amp;" | "&amp;SUBSTITUTE(OpCode!H32,"|","/")&amp;" | ```"&amp;OpCode!I32&amp;"``` | "&amp;OpCode!J32&amp;" |"&amp;OpCode!K32&amp;" |"</f>
        <v>| 1E | MVI | E,d8 | data | imm | 2 | 2 | 7 | ```........``` | MVI E, d8 |E &lt;- byte_2 |</v>
      </c>
    </row>
    <row r="93" spans="1:1" x14ac:dyDescent="0.2">
      <c r="A93" s="5" t="str">
        <f>"| "&amp;OpCode!A33&amp;" | "&amp;OpCode!B33&amp;" | "&amp;OpCode!C33&amp;" | "&amp;OpCode!D33&amp;" | "&amp;OpCode!E33&amp;" | "&amp;OpCode!F33&amp;" | "&amp;SUBSTITUTE(OpCode!G33,"|","/")&amp;" | "&amp;SUBSTITUTE(OpCode!H33,"|","/")&amp;" | ```"&amp;OpCode!I33&amp;"``` | "&amp;OpCode!J33&amp;" |"&amp;OpCode!K33&amp;" |"</f>
        <v>| 1F | RAR |  | logic | imp | 1 | 1 | 4 | ```......0C``` | RAR |A &lt;- A &gt;&gt; 1; bit 7 &lt;- prev bit 7; CY &lt;- prev bit 0 |</v>
      </c>
    </row>
    <row r="94" spans="1:1" x14ac:dyDescent="0.2">
      <c r="A94" s="5" t="str">
        <f>"| "&amp;OpCode!A34&amp;" | "&amp;OpCode!B34&amp;" | "&amp;OpCode!C34&amp;" | "&amp;OpCode!D34&amp;" | "&amp;OpCode!E34&amp;" | "&amp;OpCode!F34&amp;" | "&amp;SUBSTITUTE(OpCode!G34,"|","/")&amp;" | "&amp;SUBSTITUTE(OpCode!H34,"|","/")&amp;" | ```"&amp;OpCode!I34&amp;"``` | "&amp;OpCode!J34&amp;" |"&amp;OpCode!K34&amp;" |"</f>
        <v>| 20 | RIM |  | control | imp | 1 | 3 | 10 | ```........``` | RIM |Read Interrupt Mask and serial data into A |</v>
      </c>
    </row>
    <row r="95" spans="1:1" x14ac:dyDescent="0.2">
      <c r="A95" s="5" t="str">
        <f>"| "&amp;OpCode!A35&amp;" | "&amp;OpCode!B35&amp;" | "&amp;OpCode!C35&amp;" | "&amp;OpCode!D35&amp;" | "&amp;OpCode!E35&amp;" | "&amp;OpCode!F35&amp;" | "&amp;SUBSTITUTE(OpCode!G35,"|","/")&amp;" | "&amp;SUBSTITUTE(OpCode!H35,"|","/")&amp;" | ```"&amp;OpCode!I35&amp;"``` | "&amp;OpCode!J35&amp;" |"&amp;OpCode!K35&amp;" |"</f>
        <v>| 21 | LXI | H,d16 | data | imm | 3 | 3 | 10 | ```........``` | LXI H, d16 |H &lt;- byte_3; L &lt;- byte_2 |</v>
      </c>
    </row>
    <row r="96" spans="1:1" x14ac:dyDescent="0.2">
      <c r="A96" s="5" t="str">
        <f>"| "&amp;OpCode!A36&amp;" | "&amp;OpCode!B36&amp;" | "&amp;OpCode!C36&amp;" | "&amp;OpCode!D36&amp;" | "&amp;OpCode!E36&amp;" | "&amp;OpCode!F36&amp;" | "&amp;SUBSTITUTE(OpCode!G36,"|","/")&amp;" | "&amp;SUBSTITUTE(OpCode!H36,"|","/")&amp;" | ```"&amp;OpCode!I36&amp;"``` | "&amp;OpCode!J36&amp;" |"&amp;OpCode!K36&amp;" |"</f>
        <v>| 22 | SHLD | a16 | data | abs | 3 | 5 | 16 | ```........``` | SHLD a16 |(adr) &lt;- L; (adr + 1) &lt;- H |</v>
      </c>
    </row>
    <row r="97" spans="1:1" x14ac:dyDescent="0.2">
      <c r="A97" s="5" t="str">
        <f>"| "&amp;OpCode!A37&amp;" | "&amp;OpCode!B37&amp;" | "&amp;OpCode!C37&amp;" | "&amp;OpCode!D37&amp;" | "&amp;OpCode!E37&amp;" | "&amp;OpCode!F37&amp;" | "&amp;SUBSTITUTE(OpCode!G37,"|","/")&amp;" | "&amp;SUBSTITUTE(OpCode!H37,"|","/")&amp;" | ```"&amp;OpCode!I37&amp;"``` | "&amp;OpCode!J37&amp;" |"&amp;OpCode!K37&amp;" |"</f>
        <v>| 23 | INX | H | arith | reg | 1 | 1 | 6 | ```..K.....``` | INX H |HL &lt;- HL + 1 |</v>
      </c>
    </row>
    <row r="98" spans="1:1" x14ac:dyDescent="0.2">
      <c r="A98" s="5" t="str">
        <f>"| "&amp;OpCode!A38&amp;" | "&amp;OpCode!B38&amp;" | "&amp;OpCode!C38&amp;" | "&amp;OpCode!D38&amp;" | "&amp;OpCode!E38&amp;" | "&amp;OpCode!F38&amp;" | "&amp;SUBSTITUTE(OpCode!G38,"|","/")&amp;" | "&amp;SUBSTITUTE(OpCode!H38,"|","/")&amp;" | ```"&amp;OpCode!I38&amp;"``` | "&amp;OpCode!J38&amp;" |"&amp;OpCode!K38&amp;" |"</f>
        <v>| 24 | INR | H | arith | reg | 1 | 1 | 4 | ```SZKA.PV.``` | INR H |H &lt;- H + 1 |</v>
      </c>
    </row>
    <row r="99" spans="1:1" x14ac:dyDescent="0.2">
      <c r="A99" s="5" t="str">
        <f>"| "&amp;OpCode!A39&amp;" | "&amp;OpCode!B39&amp;" | "&amp;OpCode!C39&amp;" | "&amp;OpCode!D39&amp;" | "&amp;OpCode!E39&amp;" | "&amp;OpCode!F39&amp;" | "&amp;SUBSTITUTE(OpCode!G39,"|","/")&amp;" | "&amp;SUBSTITUTE(OpCode!H39,"|","/")&amp;" | ```"&amp;OpCode!I39&amp;"``` | "&amp;OpCode!J39&amp;" |"&amp;OpCode!K39&amp;" |"</f>
        <v>| 25 | DCR | H | arith | reg | 1 | 1 | 4 | ```SZ.A.PV.``` | DCR H |H &lt;- H - 1 |</v>
      </c>
    </row>
    <row r="100" spans="1:1" x14ac:dyDescent="0.2">
      <c r="A100" s="5" t="str">
        <f>"| "&amp;OpCode!A40&amp;" | "&amp;OpCode!B40&amp;" | "&amp;OpCode!C40&amp;" | "&amp;OpCode!D40&amp;" | "&amp;OpCode!E40&amp;" | "&amp;OpCode!F40&amp;" | "&amp;SUBSTITUTE(OpCode!G40,"|","/")&amp;" | "&amp;SUBSTITUTE(OpCode!H40,"|","/")&amp;" | ```"&amp;OpCode!I40&amp;"``` | "&amp;OpCode!J40&amp;" |"&amp;OpCode!K40&amp;" |"</f>
        <v>| 26 | MVI | H,d8 | data | imm | 2 | 2 | 7 | ```........``` | MVI H, d8 |H &lt;- byte_2 |</v>
      </c>
    </row>
    <row r="101" spans="1:1" x14ac:dyDescent="0.2">
      <c r="A101" s="5" t="str">
        <f>"| "&amp;OpCode!A41&amp;" | "&amp;OpCode!B41&amp;" | "&amp;OpCode!C41&amp;" | "&amp;OpCode!D41&amp;" | "&amp;OpCode!E41&amp;" | "&amp;OpCode!F41&amp;" | "&amp;SUBSTITUTE(OpCode!G41,"|","/")&amp;" | "&amp;SUBSTITUTE(OpCode!H41,"|","/")&amp;" | ```"&amp;OpCode!I41&amp;"``` | "&amp;OpCode!J41&amp;" |"&amp;OpCode!K41&amp;" |"</f>
        <v>| 27 | DAA |  | logic | imp | 1 | 1 | 4 | ```SZKA.PVC``` | DAA |Special |</v>
      </c>
    </row>
    <row r="102" spans="1:1" x14ac:dyDescent="0.2">
      <c r="A102" s="5" t="str">
        <f>"| "&amp;OpCode!A42&amp;" | "&amp;OpCode!B42&amp;" | "&amp;OpCode!C42&amp;" | "&amp;OpCode!D42&amp;" | "&amp;OpCode!E42&amp;" | "&amp;OpCode!F42&amp;" | "&amp;SUBSTITUTE(OpCode!G42,"|","/")&amp;" | "&amp;SUBSTITUTE(OpCode!H42,"|","/")&amp;" | ```"&amp;OpCode!I42&amp;"``` | "&amp;OpCode!J42&amp;" |"&amp;OpCode!K42&amp;" |"</f>
        <v>| 28 | LDHI | d8 | data | imm | 2 | 3 | 10 | ```........``` | LDHI d8 |DE &lt;- HL + byte_2 |</v>
      </c>
    </row>
    <row r="103" spans="1:1" x14ac:dyDescent="0.2">
      <c r="A103" s="5" t="str">
        <f>"| "&amp;OpCode!A43&amp;" | "&amp;OpCode!B43&amp;" | "&amp;OpCode!C43&amp;" | "&amp;OpCode!D43&amp;" | "&amp;OpCode!E43&amp;" | "&amp;OpCode!F43&amp;" | "&amp;SUBSTITUTE(OpCode!G43,"|","/")&amp;" | "&amp;SUBSTITUTE(OpCode!H43,"|","/")&amp;" | ```"&amp;OpCode!I43&amp;"``` | "&amp;OpCode!J43&amp;" |"&amp;OpCode!K43&amp;" |"</f>
        <v>| 29 | DAD | H | arith | reg | 1 | 3 | 10 | ```......VC``` | DAD H |HL &lt;- HL + HL |</v>
      </c>
    </row>
    <row r="104" spans="1:1" x14ac:dyDescent="0.2">
      <c r="A104" s="5" t="str">
        <f>"| "&amp;OpCode!A44&amp;" | "&amp;OpCode!B44&amp;" | "&amp;OpCode!C44&amp;" | "&amp;OpCode!D44&amp;" | "&amp;OpCode!E44&amp;" | "&amp;OpCode!F44&amp;" | "&amp;SUBSTITUTE(OpCode!G44,"|","/")&amp;" | "&amp;SUBSTITUTE(OpCode!H44,"|","/")&amp;" | ```"&amp;OpCode!I44&amp;"``` | "&amp;OpCode!J44&amp;" |"&amp;OpCode!K44&amp;" |"</f>
        <v>| 2A | LHLD | a16 | data | abs | 3 | 5 | 16 | ```........``` | LHLD a16 |L &lt;- (adr); H &lt;- (adr + 1) |</v>
      </c>
    </row>
    <row r="105" spans="1:1" x14ac:dyDescent="0.2">
      <c r="A105" s="5" t="str">
        <f>"| "&amp;OpCode!A45&amp;" | "&amp;OpCode!B45&amp;" | "&amp;OpCode!C45&amp;" | "&amp;OpCode!D45&amp;" | "&amp;OpCode!E45&amp;" | "&amp;OpCode!F45&amp;" | "&amp;SUBSTITUTE(OpCode!G45,"|","/")&amp;" | "&amp;SUBSTITUTE(OpCode!H45,"|","/")&amp;" | ```"&amp;OpCode!I45&amp;"``` | "&amp;OpCode!J45&amp;" |"&amp;OpCode!K45&amp;" |"</f>
        <v>| 2B | DCX | H | arith | reg | 1 | 1 | 6 | ```..K.....``` | DCX H |HL &lt;- HL - 1 |</v>
      </c>
    </row>
    <row r="106" spans="1:1" x14ac:dyDescent="0.2">
      <c r="A106" s="5" t="str">
        <f>"| "&amp;OpCode!A46&amp;" | "&amp;OpCode!B46&amp;" | "&amp;OpCode!C46&amp;" | "&amp;OpCode!D46&amp;" | "&amp;OpCode!E46&amp;" | "&amp;OpCode!F46&amp;" | "&amp;SUBSTITUTE(OpCode!G46,"|","/")&amp;" | "&amp;SUBSTITUTE(OpCode!H46,"|","/")&amp;" | ```"&amp;OpCode!I46&amp;"``` | "&amp;OpCode!J46&amp;" |"&amp;OpCode!K46&amp;" |"</f>
        <v>| 2C | INR | L | arith | reg | 1 | 1 | 4 | ```SZKA.PV.``` | INR L |L &lt;- L + 1 |</v>
      </c>
    </row>
    <row r="107" spans="1:1" x14ac:dyDescent="0.2">
      <c r="A107" s="5" t="str">
        <f>"| "&amp;OpCode!A47&amp;" | "&amp;OpCode!B47&amp;" | "&amp;OpCode!C47&amp;" | "&amp;OpCode!D47&amp;" | "&amp;OpCode!E47&amp;" | "&amp;OpCode!F47&amp;" | "&amp;SUBSTITUTE(OpCode!G47,"|","/")&amp;" | "&amp;SUBSTITUTE(OpCode!H47,"|","/")&amp;" | ```"&amp;OpCode!I47&amp;"``` | "&amp;OpCode!J47&amp;" |"&amp;OpCode!K47&amp;" |"</f>
        <v>| 2D | DCR | L | arith | reg | 1 | 1 | 4 | ```SZ.A.PV.``` | DCR L |L &lt;- L - 1 |</v>
      </c>
    </row>
    <row r="108" spans="1:1" x14ac:dyDescent="0.2">
      <c r="A108" s="5" t="str">
        <f>"| "&amp;OpCode!A48&amp;" | "&amp;OpCode!B48&amp;" | "&amp;OpCode!C48&amp;" | "&amp;OpCode!D48&amp;" | "&amp;OpCode!E48&amp;" | "&amp;OpCode!F48&amp;" | "&amp;SUBSTITUTE(OpCode!G48,"|","/")&amp;" | "&amp;SUBSTITUTE(OpCode!H48,"|","/")&amp;" | ```"&amp;OpCode!I48&amp;"``` | "&amp;OpCode!J48&amp;" |"&amp;OpCode!K48&amp;" |"</f>
        <v>| 2E | MVI | L,d8 | data | imm | 2 | 2 | 7 | ```........``` | MVI L, d8 |L &lt;- byte_2 |</v>
      </c>
    </row>
    <row r="109" spans="1:1" x14ac:dyDescent="0.2">
      <c r="A109" s="5" t="str">
        <f>"| "&amp;OpCode!A49&amp;" | "&amp;OpCode!B49&amp;" | "&amp;OpCode!C49&amp;" | "&amp;OpCode!D49&amp;" | "&amp;OpCode!E49&amp;" | "&amp;OpCode!F49&amp;" | "&amp;SUBSTITUTE(OpCode!G49,"|","/")&amp;" | "&amp;SUBSTITUTE(OpCode!H49,"|","/")&amp;" | ```"&amp;OpCode!I49&amp;"``` | "&amp;OpCode!J49&amp;" |"&amp;OpCode!K49&amp;" |"</f>
        <v>| 2F | CMA |  | logic | imp | 1 | 1 | 4 | ```..1...1.``` | CMA |A &lt;- !A |</v>
      </c>
    </row>
    <row r="110" spans="1:1" x14ac:dyDescent="0.2">
      <c r="A110" s="5" t="str">
        <f>"| "&amp;OpCode!A50&amp;" | "&amp;OpCode!B50&amp;" | "&amp;OpCode!C50&amp;" | "&amp;OpCode!D50&amp;" | "&amp;OpCode!E50&amp;" | "&amp;OpCode!F50&amp;" | "&amp;SUBSTITUTE(OpCode!G50,"|","/")&amp;" | "&amp;SUBSTITUTE(OpCode!H50,"|","/")&amp;" | ```"&amp;OpCode!I50&amp;"``` | "&amp;OpCode!J50&amp;" |"&amp;OpCode!K50&amp;" |"</f>
        <v>| 30 | SIM |  | control | imp | 1 | 1 | 4 | ```........``` | SIM |Set Interrupt Mask and serial data from A |</v>
      </c>
    </row>
    <row r="111" spans="1:1" x14ac:dyDescent="0.2">
      <c r="A111" s="5" t="str">
        <f>"| "&amp;OpCode!A51&amp;" | "&amp;OpCode!B51&amp;" | "&amp;OpCode!C51&amp;" | "&amp;OpCode!D51&amp;" | "&amp;OpCode!E51&amp;" | "&amp;OpCode!F51&amp;" | "&amp;SUBSTITUTE(OpCode!G51,"|","/")&amp;" | "&amp;SUBSTITUTE(OpCode!H51,"|","/")&amp;" | ```"&amp;OpCode!I51&amp;"``` | "&amp;OpCode!J51&amp;" |"&amp;OpCode!K51&amp;" |"</f>
        <v>| 31 | LXI | SP,d16 | data | imm | 3 | 3 | 10 | ```........``` | LXI SP, d16 |SP.hi &lt;- byte_3; SP.lo &lt;- byte_2 |</v>
      </c>
    </row>
    <row r="112" spans="1:1" x14ac:dyDescent="0.2">
      <c r="A112" s="5" t="str">
        <f>"| "&amp;OpCode!A52&amp;" | "&amp;OpCode!B52&amp;" | "&amp;OpCode!C52&amp;" | "&amp;OpCode!D52&amp;" | "&amp;OpCode!E52&amp;" | "&amp;OpCode!F52&amp;" | "&amp;SUBSTITUTE(OpCode!G52,"|","/")&amp;" | "&amp;SUBSTITUTE(OpCode!H52,"|","/")&amp;" | ```"&amp;OpCode!I52&amp;"``` | "&amp;OpCode!J52&amp;" |"&amp;OpCode!K52&amp;" |"</f>
        <v>| 32 | STA | a16 | data | abs | 3 | 4 | 13 | ```........``` | STA a16 |(adr) &lt;- A |</v>
      </c>
    </row>
    <row r="113" spans="1:1" x14ac:dyDescent="0.2">
      <c r="A113" s="5" t="str">
        <f>"| "&amp;OpCode!A53&amp;" | "&amp;OpCode!B53&amp;" | "&amp;OpCode!C53&amp;" | "&amp;OpCode!D53&amp;" | "&amp;OpCode!E53&amp;" | "&amp;OpCode!F53&amp;" | "&amp;SUBSTITUTE(OpCode!G53,"|","/")&amp;" | "&amp;SUBSTITUTE(OpCode!H53,"|","/")&amp;" | ```"&amp;OpCode!I53&amp;"``` | "&amp;OpCode!J53&amp;" |"&amp;OpCode!K53&amp;" |"</f>
        <v>| 33 | INX | SP | arith | reg | 1 | 1 | 6 | ```..K.....``` | INX SP |SP &lt;- SP + 1 |</v>
      </c>
    </row>
    <row r="114" spans="1:1" x14ac:dyDescent="0.2">
      <c r="A114" s="5" t="str">
        <f>"| "&amp;OpCode!A54&amp;" | "&amp;OpCode!B54&amp;" | "&amp;OpCode!C54&amp;" | "&amp;OpCode!D54&amp;" | "&amp;OpCode!E54&amp;" | "&amp;OpCode!F54&amp;" | "&amp;SUBSTITUTE(OpCode!G54,"|","/")&amp;" | "&amp;SUBSTITUTE(OpCode!H54,"|","/")&amp;" | ```"&amp;OpCode!I54&amp;"``` | "&amp;OpCode!J54&amp;" |"&amp;OpCode!K54&amp;" |"</f>
        <v>| 34 | INR | M | arith | ind_reg | 1 | 3 | 10 | ```SZKA.PV.``` | INR M |(HL) &lt;- (HL) + 1 |</v>
      </c>
    </row>
    <row r="115" spans="1:1" x14ac:dyDescent="0.2">
      <c r="A115" s="5" t="str">
        <f>"| "&amp;OpCode!A55&amp;" | "&amp;OpCode!B55&amp;" | "&amp;OpCode!C55&amp;" | "&amp;OpCode!D55&amp;" | "&amp;OpCode!E55&amp;" | "&amp;OpCode!F55&amp;" | "&amp;SUBSTITUTE(OpCode!G55,"|","/")&amp;" | "&amp;SUBSTITUTE(OpCode!H55,"|","/")&amp;" | ```"&amp;OpCode!I55&amp;"``` | "&amp;OpCode!J55&amp;" |"&amp;OpCode!K55&amp;" |"</f>
        <v>| 35 | DCR | M | arith | ind_reg | 1 | 3 | 10 | ```SZ.A.PV.``` | DCR M |(HL) &lt;- (HL) - 1 |</v>
      </c>
    </row>
    <row r="116" spans="1:1" x14ac:dyDescent="0.2">
      <c r="A116" s="5" t="str">
        <f>"| "&amp;OpCode!A56&amp;" | "&amp;OpCode!B56&amp;" | "&amp;OpCode!C56&amp;" | "&amp;OpCode!D56&amp;" | "&amp;OpCode!E56&amp;" | "&amp;OpCode!F56&amp;" | "&amp;SUBSTITUTE(OpCode!G56,"|","/")&amp;" | "&amp;SUBSTITUTE(OpCode!H56,"|","/")&amp;" | ```"&amp;OpCode!I56&amp;"``` | "&amp;OpCode!J56&amp;" |"&amp;OpCode!K56&amp;" |"</f>
        <v>| 36 | MVI | M,d8 | data | ind_reg | 2 | 3 | 10 | ```........``` | MVI M, d8 |(HL) &lt;- byte_2 |</v>
      </c>
    </row>
    <row r="117" spans="1:1" x14ac:dyDescent="0.2">
      <c r="A117" s="5" t="str">
        <f>"| "&amp;OpCode!A57&amp;" | "&amp;OpCode!B57&amp;" | "&amp;OpCode!C57&amp;" | "&amp;OpCode!D57&amp;" | "&amp;OpCode!E57&amp;" | "&amp;OpCode!F57&amp;" | "&amp;SUBSTITUTE(OpCode!G57,"|","/")&amp;" | "&amp;SUBSTITUTE(OpCode!H57,"|","/")&amp;" | ```"&amp;OpCode!I57&amp;"``` | "&amp;OpCode!J57&amp;" |"&amp;OpCode!K57&amp;" |"</f>
        <v>| 37 | STC |  | logic | imp | 1 | 1 | 4 | ```.......1``` | STC |CY &lt;- 1 |</v>
      </c>
    </row>
    <row r="118" spans="1:1" x14ac:dyDescent="0.2">
      <c r="A118" s="5" t="str">
        <f>"| "&amp;OpCode!A58&amp;" | "&amp;OpCode!B58&amp;" | "&amp;OpCode!C58&amp;" | "&amp;OpCode!D58&amp;" | "&amp;OpCode!E58&amp;" | "&amp;OpCode!F58&amp;" | "&amp;SUBSTITUTE(OpCode!G58,"|","/")&amp;" | "&amp;SUBSTITUTE(OpCode!H58,"|","/")&amp;" | ```"&amp;OpCode!I58&amp;"``` | "&amp;OpCode!J58&amp;" |"&amp;OpCode!K58&amp;" |"</f>
        <v>| 38 | LDSI | d8 | data | imm | 2 | 3 | 10 | ```........``` | LDSI d8 |DE &lt;- SP + byte_2 |</v>
      </c>
    </row>
    <row r="119" spans="1:1" x14ac:dyDescent="0.2">
      <c r="A119" s="5" t="str">
        <f>"| "&amp;OpCode!A59&amp;" | "&amp;OpCode!B59&amp;" | "&amp;OpCode!C59&amp;" | "&amp;OpCode!D59&amp;" | "&amp;OpCode!E59&amp;" | "&amp;OpCode!F59&amp;" | "&amp;SUBSTITUTE(OpCode!G59,"|","/")&amp;" | "&amp;SUBSTITUTE(OpCode!H59,"|","/")&amp;" | ```"&amp;OpCode!I59&amp;"``` | "&amp;OpCode!J59&amp;" |"&amp;OpCode!K59&amp;" |"</f>
        <v>| 39 | DAD | SP | arith | reg | 1 | 3 | 10 | ```......VC``` | DAD SP |HL &lt;- HL + SP |</v>
      </c>
    </row>
    <row r="120" spans="1:1" x14ac:dyDescent="0.2">
      <c r="A120" s="5" t="str">
        <f>"| "&amp;OpCode!A60&amp;" | "&amp;OpCode!B60&amp;" | "&amp;OpCode!C60&amp;" | "&amp;OpCode!D60&amp;" | "&amp;OpCode!E60&amp;" | "&amp;OpCode!F60&amp;" | "&amp;SUBSTITUTE(OpCode!G60,"|","/")&amp;" | "&amp;SUBSTITUTE(OpCode!H60,"|","/")&amp;" | ```"&amp;OpCode!I60&amp;"``` | "&amp;OpCode!J60&amp;" |"&amp;OpCode!K60&amp;" |"</f>
        <v>| 3A | LDA | a16 | data | abs | 3 | 4 | 13 | ```........``` | LDA a16 |A &lt;- (adr) |</v>
      </c>
    </row>
    <row r="121" spans="1:1" x14ac:dyDescent="0.2">
      <c r="A121" s="5" t="str">
        <f>"| "&amp;OpCode!A61&amp;" | "&amp;OpCode!B61&amp;" | "&amp;OpCode!C61&amp;" | "&amp;OpCode!D61&amp;" | "&amp;OpCode!E61&amp;" | "&amp;OpCode!F61&amp;" | "&amp;SUBSTITUTE(OpCode!G61,"|","/")&amp;" | "&amp;SUBSTITUTE(OpCode!H61,"|","/")&amp;" | ```"&amp;OpCode!I61&amp;"``` | "&amp;OpCode!J61&amp;" |"&amp;OpCode!K61&amp;" |"</f>
        <v>| 3B | DCX | SP | arith | reg | 1 | 1 | 6 | ```..K.....``` | DCX SP |SP &lt;- SP - 1 |</v>
      </c>
    </row>
    <row r="122" spans="1:1" x14ac:dyDescent="0.2">
      <c r="A122" s="5" t="str">
        <f>"| "&amp;OpCode!A62&amp;" | "&amp;OpCode!B62&amp;" | "&amp;OpCode!C62&amp;" | "&amp;OpCode!D62&amp;" | "&amp;OpCode!E62&amp;" | "&amp;OpCode!F62&amp;" | "&amp;SUBSTITUTE(OpCode!G62,"|","/")&amp;" | "&amp;SUBSTITUTE(OpCode!H62,"|","/")&amp;" | ```"&amp;OpCode!I62&amp;"``` | "&amp;OpCode!J62&amp;" |"&amp;OpCode!K62&amp;" |"</f>
        <v>| 3C | INR | A | arith | reg | 1 | 1 | 4 | ```SZKA.PV.``` | INR A |A &lt;- A + 1 |</v>
      </c>
    </row>
    <row r="123" spans="1:1" x14ac:dyDescent="0.2">
      <c r="A123" s="5" t="str">
        <f>"| "&amp;OpCode!A63&amp;" | "&amp;OpCode!B63&amp;" | "&amp;OpCode!C63&amp;" | "&amp;OpCode!D63&amp;" | "&amp;OpCode!E63&amp;" | "&amp;OpCode!F63&amp;" | "&amp;SUBSTITUTE(OpCode!G63,"|","/")&amp;" | "&amp;SUBSTITUTE(OpCode!H63,"|","/")&amp;" | ```"&amp;OpCode!I63&amp;"``` | "&amp;OpCode!J63&amp;" |"&amp;OpCode!K63&amp;" |"</f>
        <v>| 3D | DCR | A | arith | reg | 1 | 1 | 4 | ```SZ.A.PV.``` | DCR A |A &lt;- A - 1 |</v>
      </c>
    </row>
    <row r="124" spans="1:1" x14ac:dyDescent="0.2">
      <c r="A124" s="5" t="str">
        <f>"| "&amp;OpCode!A64&amp;" | "&amp;OpCode!B64&amp;" | "&amp;OpCode!C64&amp;" | "&amp;OpCode!D64&amp;" | "&amp;OpCode!E64&amp;" | "&amp;OpCode!F64&amp;" | "&amp;SUBSTITUTE(OpCode!G64,"|","/")&amp;" | "&amp;SUBSTITUTE(OpCode!H64,"|","/")&amp;" | ```"&amp;OpCode!I64&amp;"``` | "&amp;OpCode!J64&amp;" |"&amp;OpCode!K64&amp;" |"</f>
        <v>| 3E | MVI | A,d8 | data | imm | 2 | 2 | 7 | ```........``` | MVI A, d8 |A &lt;- byte_2 |</v>
      </c>
    </row>
    <row r="125" spans="1:1" x14ac:dyDescent="0.2">
      <c r="A125" s="5" t="str">
        <f>"| "&amp;OpCode!A65&amp;" | "&amp;OpCode!B65&amp;" | "&amp;OpCode!C65&amp;" | "&amp;OpCode!D65&amp;" | "&amp;OpCode!E65&amp;" | "&amp;OpCode!F65&amp;" | "&amp;SUBSTITUTE(OpCode!G65,"|","/")&amp;" | "&amp;SUBSTITUTE(OpCode!H65,"|","/")&amp;" | ```"&amp;OpCode!I65&amp;"``` | "&amp;OpCode!J65&amp;" |"&amp;OpCode!K65&amp;" |"</f>
        <v>| 3F | CMC |  | logic | imp | 1 | 1 | 4 | ```.......C``` | CMC |CY &lt;- !CY |</v>
      </c>
    </row>
    <row r="126" spans="1:1" x14ac:dyDescent="0.2">
      <c r="A126" s="5" t="str">
        <f>"| "&amp;OpCode!A66&amp;" | "&amp;OpCode!B66&amp;" | "&amp;OpCode!C66&amp;" | "&amp;OpCode!D66&amp;" | "&amp;OpCode!E66&amp;" | "&amp;OpCode!F66&amp;" | "&amp;SUBSTITUTE(OpCode!G66,"|","/")&amp;" | "&amp;SUBSTITUTE(OpCode!H66,"|","/")&amp;" | ```"&amp;OpCode!I66&amp;"``` | "&amp;OpCode!J66&amp;" |"&amp;OpCode!K66&amp;" |"</f>
        <v>| 40 | MOV | B,B | data | reg | 1 | 1 | 4 | ```........``` | MOV B, B |B &lt;- B |</v>
      </c>
    </row>
    <row r="127" spans="1:1" x14ac:dyDescent="0.2">
      <c r="A127" s="5" t="str">
        <f>"| "&amp;OpCode!A67&amp;" | "&amp;OpCode!B67&amp;" | "&amp;OpCode!C67&amp;" | "&amp;OpCode!D67&amp;" | "&amp;OpCode!E67&amp;" | "&amp;OpCode!F67&amp;" | "&amp;SUBSTITUTE(OpCode!G67,"|","/")&amp;" | "&amp;SUBSTITUTE(OpCode!H67,"|","/")&amp;" | ```"&amp;OpCode!I67&amp;"``` | "&amp;OpCode!J67&amp;" |"&amp;OpCode!K67&amp;" |"</f>
        <v>| 41 | MOV | B,C | data | reg | 1 | 1 | 4 | ```........``` | MOV B, C |B &lt;- C |</v>
      </c>
    </row>
    <row r="128" spans="1:1" x14ac:dyDescent="0.2">
      <c r="A128" s="5" t="str">
        <f>"| "&amp;OpCode!A68&amp;" | "&amp;OpCode!B68&amp;" | "&amp;OpCode!C68&amp;" | "&amp;OpCode!D68&amp;" | "&amp;OpCode!E68&amp;" | "&amp;OpCode!F68&amp;" | "&amp;SUBSTITUTE(OpCode!G68,"|","/")&amp;" | "&amp;SUBSTITUTE(OpCode!H68,"|","/")&amp;" | ```"&amp;OpCode!I68&amp;"``` | "&amp;OpCode!J68&amp;" |"&amp;OpCode!K68&amp;" |"</f>
        <v>| 42 | MOV | B,D | data | reg | 1 | 1 | 4 | ```........``` | MOV B, D |B &lt;- D |</v>
      </c>
    </row>
    <row r="129" spans="1:1" x14ac:dyDescent="0.2">
      <c r="A129" s="5" t="str">
        <f>"| "&amp;OpCode!A69&amp;" | "&amp;OpCode!B69&amp;" | "&amp;OpCode!C69&amp;" | "&amp;OpCode!D69&amp;" | "&amp;OpCode!E69&amp;" | "&amp;OpCode!F69&amp;" | "&amp;SUBSTITUTE(OpCode!G69,"|","/")&amp;" | "&amp;SUBSTITUTE(OpCode!H69,"|","/")&amp;" | ```"&amp;OpCode!I69&amp;"``` | "&amp;OpCode!J69&amp;" |"&amp;OpCode!K69&amp;" |"</f>
        <v>| 43 | MOV | B,E | data | reg | 1 | 1 | 4 | ```........``` | MOV B, E |B &lt;- E |</v>
      </c>
    </row>
    <row r="130" spans="1:1" x14ac:dyDescent="0.2">
      <c r="A130" s="5" t="str">
        <f>"| "&amp;OpCode!A70&amp;" | "&amp;OpCode!B70&amp;" | "&amp;OpCode!C70&amp;" | "&amp;OpCode!D70&amp;" | "&amp;OpCode!E70&amp;" | "&amp;OpCode!F70&amp;" | "&amp;SUBSTITUTE(OpCode!G70,"|","/")&amp;" | "&amp;SUBSTITUTE(OpCode!H70,"|","/")&amp;" | ```"&amp;OpCode!I70&amp;"``` | "&amp;OpCode!J70&amp;" |"&amp;OpCode!K70&amp;" |"</f>
        <v>| 44 | MOV | B,H | data | reg | 1 | 1 | 4 | ```........``` | MOV B, H |B &lt;- H |</v>
      </c>
    </row>
    <row r="131" spans="1:1" x14ac:dyDescent="0.2">
      <c r="A131" s="5" t="str">
        <f>"| "&amp;OpCode!A71&amp;" | "&amp;OpCode!B71&amp;" | "&amp;OpCode!C71&amp;" | "&amp;OpCode!D71&amp;" | "&amp;OpCode!E71&amp;" | "&amp;OpCode!F71&amp;" | "&amp;SUBSTITUTE(OpCode!G71,"|","/")&amp;" | "&amp;SUBSTITUTE(OpCode!H71,"|","/")&amp;" | ```"&amp;OpCode!I71&amp;"``` | "&amp;OpCode!J71&amp;" |"&amp;OpCode!K71&amp;" |"</f>
        <v>| 45 | MOV | B,L | data | reg | 1 | 1 | 4 | ```........``` | MOV B, L |B &lt;- L |</v>
      </c>
    </row>
    <row r="132" spans="1:1" x14ac:dyDescent="0.2">
      <c r="A132" s="5" t="str">
        <f>"| "&amp;OpCode!A72&amp;" | "&amp;OpCode!B72&amp;" | "&amp;OpCode!C72&amp;" | "&amp;OpCode!D72&amp;" | "&amp;OpCode!E72&amp;" | "&amp;OpCode!F72&amp;" | "&amp;SUBSTITUTE(OpCode!G72,"|","/")&amp;" | "&amp;SUBSTITUTE(OpCode!H72,"|","/")&amp;" | ```"&amp;OpCode!I72&amp;"``` | "&amp;OpCode!J72&amp;" |"&amp;OpCode!K72&amp;" |"</f>
        <v>| 46 | MOV | B,M | data | ind_reg | 1 | 2 | 7 | ```........``` | MOV B, M |B &lt;- (HL) |</v>
      </c>
    </row>
    <row r="133" spans="1:1" x14ac:dyDescent="0.2">
      <c r="A133" s="5" t="str">
        <f>"| "&amp;OpCode!A73&amp;" | "&amp;OpCode!B73&amp;" | "&amp;OpCode!C73&amp;" | "&amp;OpCode!D73&amp;" | "&amp;OpCode!E73&amp;" | "&amp;OpCode!F73&amp;" | "&amp;SUBSTITUTE(OpCode!G73,"|","/")&amp;" | "&amp;SUBSTITUTE(OpCode!H73,"|","/")&amp;" | ```"&amp;OpCode!I73&amp;"``` | "&amp;OpCode!J73&amp;" |"&amp;OpCode!K73&amp;" |"</f>
        <v>| 47 | MOV | B,A | data | reg | 1 | 1 | 4 | ```........``` | MOV B, A |B &lt;- A |</v>
      </c>
    </row>
    <row r="134" spans="1:1" x14ac:dyDescent="0.2">
      <c r="A134" s="5" t="str">
        <f>"| "&amp;OpCode!A74&amp;" | "&amp;OpCode!B74&amp;" | "&amp;OpCode!C74&amp;" | "&amp;OpCode!D74&amp;" | "&amp;OpCode!E74&amp;" | "&amp;OpCode!F74&amp;" | "&amp;SUBSTITUTE(OpCode!G74,"|","/")&amp;" | "&amp;SUBSTITUTE(OpCode!H74,"|","/")&amp;" | ```"&amp;OpCode!I74&amp;"``` | "&amp;OpCode!J74&amp;" |"&amp;OpCode!K74&amp;" |"</f>
        <v>| 48 | MOV | C,B | data | reg | 1 | 1 | 4 | ```........``` | MOV C, B |C &lt;- B |</v>
      </c>
    </row>
    <row r="135" spans="1:1" x14ac:dyDescent="0.2">
      <c r="A135" s="5" t="str">
        <f>"| "&amp;OpCode!A75&amp;" | "&amp;OpCode!B75&amp;" | "&amp;OpCode!C75&amp;" | "&amp;OpCode!D75&amp;" | "&amp;OpCode!E75&amp;" | "&amp;OpCode!F75&amp;" | "&amp;SUBSTITUTE(OpCode!G75,"|","/")&amp;" | "&amp;SUBSTITUTE(OpCode!H75,"|","/")&amp;" | ```"&amp;OpCode!I75&amp;"``` | "&amp;OpCode!J75&amp;" |"&amp;OpCode!K75&amp;" |"</f>
        <v>| 49 | MOV | C,C | data | reg | 1 | 1 | 4 | ```........``` | MOV C, C |C &lt;- C |</v>
      </c>
    </row>
    <row r="136" spans="1:1" x14ac:dyDescent="0.2">
      <c r="A136" s="5" t="str">
        <f>"| "&amp;OpCode!A76&amp;" | "&amp;OpCode!B76&amp;" | "&amp;OpCode!C76&amp;" | "&amp;OpCode!D76&amp;" | "&amp;OpCode!E76&amp;" | "&amp;OpCode!F76&amp;" | "&amp;SUBSTITUTE(OpCode!G76,"|","/")&amp;" | "&amp;SUBSTITUTE(OpCode!H76,"|","/")&amp;" | ```"&amp;OpCode!I76&amp;"``` | "&amp;OpCode!J76&amp;" |"&amp;OpCode!K76&amp;" |"</f>
        <v>| 4A | MOV | C,D | data | reg | 1 | 1 | 4 | ```........``` | MOV C, D |C &lt;- D |</v>
      </c>
    </row>
    <row r="137" spans="1:1" x14ac:dyDescent="0.2">
      <c r="A137" s="5" t="str">
        <f>"| "&amp;OpCode!A77&amp;" | "&amp;OpCode!B77&amp;" | "&amp;OpCode!C77&amp;" | "&amp;OpCode!D77&amp;" | "&amp;OpCode!E77&amp;" | "&amp;OpCode!F77&amp;" | "&amp;SUBSTITUTE(OpCode!G77,"|","/")&amp;" | "&amp;SUBSTITUTE(OpCode!H77,"|","/")&amp;" | ```"&amp;OpCode!I77&amp;"``` | "&amp;OpCode!J77&amp;" |"&amp;OpCode!K77&amp;" |"</f>
        <v>| 4B | MOV | C,E | data | reg | 1 | 1 | 4 | ```........``` | MOV C, E |C &lt;- E |</v>
      </c>
    </row>
    <row r="138" spans="1:1" x14ac:dyDescent="0.2">
      <c r="A138" s="5" t="str">
        <f>"| "&amp;OpCode!A78&amp;" | "&amp;OpCode!B78&amp;" | "&amp;OpCode!C78&amp;" | "&amp;OpCode!D78&amp;" | "&amp;OpCode!E78&amp;" | "&amp;OpCode!F78&amp;" | "&amp;SUBSTITUTE(OpCode!G78,"|","/")&amp;" | "&amp;SUBSTITUTE(OpCode!H78,"|","/")&amp;" | ```"&amp;OpCode!I78&amp;"``` | "&amp;OpCode!J78&amp;" |"&amp;OpCode!K78&amp;" |"</f>
        <v>| 4C | MOV | C,H | data | reg | 1 | 1 | 4 | ```........``` | MOV C, H |C &lt;- H |</v>
      </c>
    </row>
    <row r="139" spans="1:1" x14ac:dyDescent="0.2">
      <c r="A139" s="5" t="str">
        <f>"| "&amp;OpCode!A79&amp;" | "&amp;OpCode!B79&amp;" | "&amp;OpCode!C79&amp;" | "&amp;OpCode!D79&amp;" | "&amp;OpCode!E79&amp;" | "&amp;OpCode!F79&amp;" | "&amp;SUBSTITUTE(OpCode!G79,"|","/")&amp;" | "&amp;SUBSTITUTE(OpCode!H79,"|","/")&amp;" | ```"&amp;OpCode!I79&amp;"``` | "&amp;OpCode!J79&amp;" |"&amp;OpCode!K79&amp;" |"</f>
        <v>| 4D | MOV | C,L | data | reg | 1 | 1 | 4 | ```........``` | MOV C, L |C &lt;- L |</v>
      </c>
    </row>
    <row r="140" spans="1:1" x14ac:dyDescent="0.2">
      <c r="A140" s="5" t="str">
        <f>"| "&amp;OpCode!A80&amp;" | "&amp;OpCode!B80&amp;" | "&amp;OpCode!C80&amp;" | "&amp;OpCode!D80&amp;" | "&amp;OpCode!E80&amp;" | "&amp;OpCode!F80&amp;" | "&amp;SUBSTITUTE(OpCode!G80,"|","/")&amp;" | "&amp;SUBSTITUTE(OpCode!H80,"|","/")&amp;" | ```"&amp;OpCode!I80&amp;"``` | "&amp;OpCode!J80&amp;" |"&amp;OpCode!K80&amp;" |"</f>
        <v>| 4E | MOV | C,M | data | ind_reg | 1 | 2 | 7 | ```........``` | MOV C, M |C &lt;- (HL) |</v>
      </c>
    </row>
    <row r="141" spans="1:1" x14ac:dyDescent="0.2">
      <c r="A141" s="5" t="str">
        <f>"| "&amp;OpCode!A81&amp;" | "&amp;OpCode!B81&amp;" | "&amp;OpCode!C81&amp;" | "&amp;OpCode!D81&amp;" | "&amp;OpCode!E81&amp;" | "&amp;OpCode!F81&amp;" | "&amp;SUBSTITUTE(OpCode!G81,"|","/")&amp;" | "&amp;SUBSTITUTE(OpCode!H81,"|","/")&amp;" | ```"&amp;OpCode!I81&amp;"``` | "&amp;OpCode!J81&amp;" |"&amp;OpCode!K81&amp;" |"</f>
        <v>| 4F | MOV | C,A | data | reg | 1 | 1 | 4 | ```........``` | MOV C, A |C &lt;- A |</v>
      </c>
    </row>
    <row r="142" spans="1:1" x14ac:dyDescent="0.2">
      <c r="A142" s="5" t="str">
        <f>"| "&amp;OpCode!A82&amp;" | "&amp;OpCode!B82&amp;" | "&amp;OpCode!C82&amp;" | "&amp;OpCode!D82&amp;" | "&amp;OpCode!E82&amp;" | "&amp;OpCode!F82&amp;" | "&amp;SUBSTITUTE(OpCode!G82,"|","/")&amp;" | "&amp;SUBSTITUTE(OpCode!H82,"|","/")&amp;" | ```"&amp;OpCode!I82&amp;"``` | "&amp;OpCode!J82&amp;" |"&amp;OpCode!K82&amp;" |"</f>
        <v>| 50 | MOV | D,B | data | reg | 1 | 1 | 4 | ```........``` | MOV D, B |D &lt;- B |</v>
      </c>
    </row>
    <row r="143" spans="1:1" x14ac:dyDescent="0.2">
      <c r="A143" s="5" t="str">
        <f>"| "&amp;OpCode!A83&amp;" | "&amp;OpCode!B83&amp;" | "&amp;OpCode!C83&amp;" | "&amp;OpCode!D83&amp;" | "&amp;OpCode!E83&amp;" | "&amp;OpCode!F83&amp;" | "&amp;SUBSTITUTE(OpCode!G83,"|","/")&amp;" | "&amp;SUBSTITUTE(OpCode!H83,"|","/")&amp;" | ```"&amp;OpCode!I83&amp;"``` | "&amp;OpCode!J83&amp;" |"&amp;OpCode!K83&amp;" |"</f>
        <v>| 51 | MOV | D,C | data | reg | 1 | 1 | 4 | ```........``` | MOV D, C |D &lt;- C |</v>
      </c>
    </row>
    <row r="144" spans="1:1" x14ac:dyDescent="0.2">
      <c r="A144" s="5" t="str">
        <f>"| "&amp;OpCode!A84&amp;" | "&amp;OpCode!B84&amp;" | "&amp;OpCode!C84&amp;" | "&amp;OpCode!D84&amp;" | "&amp;OpCode!E84&amp;" | "&amp;OpCode!F84&amp;" | "&amp;SUBSTITUTE(OpCode!G84,"|","/")&amp;" | "&amp;SUBSTITUTE(OpCode!H84,"|","/")&amp;" | ```"&amp;OpCode!I84&amp;"``` | "&amp;OpCode!J84&amp;" |"&amp;OpCode!K84&amp;" |"</f>
        <v>| 52 | MOV | D,D | data | reg | 1 | 1 | 4 | ```........``` | MOV D, D |D &lt;- D |</v>
      </c>
    </row>
    <row r="145" spans="1:1" x14ac:dyDescent="0.2">
      <c r="A145" s="5" t="str">
        <f>"| "&amp;OpCode!A85&amp;" | "&amp;OpCode!B85&amp;" | "&amp;OpCode!C85&amp;" | "&amp;OpCode!D85&amp;" | "&amp;OpCode!E85&amp;" | "&amp;OpCode!F85&amp;" | "&amp;SUBSTITUTE(OpCode!G85,"|","/")&amp;" | "&amp;SUBSTITUTE(OpCode!H85,"|","/")&amp;" | ```"&amp;OpCode!I85&amp;"``` | "&amp;OpCode!J85&amp;" |"&amp;OpCode!K85&amp;" |"</f>
        <v>| 53 | MOV | D,E | data | reg | 1 | 1 | 4 | ```........``` | MOV D, E |D &lt;- E |</v>
      </c>
    </row>
    <row r="146" spans="1:1" x14ac:dyDescent="0.2">
      <c r="A146" s="5" t="str">
        <f>"| "&amp;OpCode!A86&amp;" | "&amp;OpCode!B86&amp;" | "&amp;OpCode!C86&amp;" | "&amp;OpCode!D86&amp;" | "&amp;OpCode!E86&amp;" | "&amp;OpCode!F86&amp;" | "&amp;SUBSTITUTE(OpCode!G86,"|","/")&amp;" | "&amp;SUBSTITUTE(OpCode!H86,"|","/")&amp;" | ```"&amp;OpCode!I86&amp;"``` | "&amp;OpCode!J86&amp;" |"&amp;OpCode!K86&amp;" |"</f>
        <v>| 54 | MOV | D,H | data | reg | 1 | 1 | 4 | ```........``` | MOV D, H |D &lt;- H |</v>
      </c>
    </row>
    <row r="147" spans="1:1" x14ac:dyDescent="0.2">
      <c r="A147" s="5" t="str">
        <f>"| "&amp;OpCode!A87&amp;" | "&amp;OpCode!B87&amp;" | "&amp;OpCode!C87&amp;" | "&amp;OpCode!D87&amp;" | "&amp;OpCode!E87&amp;" | "&amp;OpCode!F87&amp;" | "&amp;SUBSTITUTE(OpCode!G87,"|","/")&amp;" | "&amp;SUBSTITUTE(OpCode!H87,"|","/")&amp;" | ```"&amp;OpCode!I87&amp;"``` | "&amp;OpCode!J87&amp;" |"&amp;OpCode!K87&amp;" |"</f>
        <v>| 55 | MOV | D,L | data | reg | 1 | 1 | 4 | ```........``` | MOV D, L |D &lt;- L |</v>
      </c>
    </row>
    <row r="148" spans="1:1" x14ac:dyDescent="0.2">
      <c r="A148" s="5" t="str">
        <f>"| "&amp;OpCode!A88&amp;" | "&amp;OpCode!B88&amp;" | "&amp;OpCode!C88&amp;" | "&amp;OpCode!D88&amp;" | "&amp;OpCode!E88&amp;" | "&amp;OpCode!F88&amp;" | "&amp;SUBSTITUTE(OpCode!G88,"|","/")&amp;" | "&amp;SUBSTITUTE(OpCode!H88,"|","/")&amp;" | ```"&amp;OpCode!I88&amp;"``` | "&amp;OpCode!J88&amp;" |"&amp;OpCode!K88&amp;" |"</f>
        <v>| 56 | MOV | D,M | data | ind_reg | 1 | 2 | 7 | ```........``` | MOV D, M |D &lt;- (HL) |</v>
      </c>
    </row>
    <row r="149" spans="1:1" x14ac:dyDescent="0.2">
      <c r="A149" s="5" t="str">
        <f>"| "&amp;OpCode!A89&amp;" | "&amp;OpCode!B89&amp;" | "&amp;OpCode!C89&amp;" | "&amp;OpCode!D89&amp;" | "&amp;OpCode!E89&amp;" | "&amp;OpCode!F89&amp;" | "&amp;SUBSTITUTE(OpCode!G89,"|","/")&amp;" | "&amp;SUBSTITUTE(OpCode!H89,"|","/")&amp;" | ```"&amp;OpCode!I89&amp;"``` | "&amp;OpCode!J89&amp;" |"&amp;OpCode!K89&amp;" |"</f>
        <v>| 57 | MOV | D,A | data | reg | 1 | 1 | 4 | ```........``` | MOV D, A |D &lt;- A |</v>
      </c>
    </row>
    <row r="150" spans="1:1" x14ac:dyDescent="0.2">
      <c r="A150" s="5" t="str">
        <f>"| "&amp;OpCode!A90&amp;" | "&amp;OpCode!B90&amp;" | "&amp;OpCode!C90&amp;" | "&amp;OpCode!D90&amp;" | "&amp;OpCode!E90&amp;" | "&amp;OpCode!F90&amp;" | "&amp;SUBSTITUTE(OpCode!G90,"|","/")&amp;" | "&amp;SUBSTITUTE(OpCode!H90,"|","/")&amp;" | ```"&amp;OpCode!I90&amp;"``` | "&amp;OpCode!J90&amp;" |"&amp;OpCode!K90&amp;" |"</f>
        <v>| 58 | MOV | E,B | data | reg | 1 | 1 | 4 | ```........``` | MOV E, B |E &lt;- B |</v>
      </c>
    </row>
    <row r="151" spans="1:1" x14ac:dyDescent="0.2">
      <c r="A151" s="5" t="str">
        <f>"| "&amp;OpCode!A91&amp;" | "&amp;OpCode!B91&amp;" | "&amp;OpCode!C91&amp;" | "&amp;OpCode!D91&amp;" | "&amp;OpCode!E91&amp;" | "&amp;OpCode!F91&amp;" | "&amp;SUBSTITUTE(OpCode!G91,"|","/")&amp;" | "&amp;SUBSTITUTE(OpCode!H91,"|","/")&amp;" | ```"&amp;OpCode!I91&amp;"``` | "&amp;OpCode!J91&amp;" |"&amp;OpCode!K91&amp;" |"</f>
        <v>| 59 | MOV | E,C | data | reg | 1 | 1 | 4 | ```........``` | MOV E, C |E &lt;- C |</v>
      </c>
    </row>
    <row r="152" spans="1:1" x14ac:dyDescent="0.2">
      <c r="A152" s="5" t="str">
        <f>"| "&amp;OpCode!A92&amp;" | "&amp;OpCode!B92&amp;" | "&amp;OpCode!C92&amp;" | "&amp;OpCode!D92&amp;" | "&amp;OpCode!E92&amp;" | "&amp;OpCode!F92&amp;" | "&amp;SUBSTITUTE(OpCode!G92,"|","/")&amp;" | "&amp;SUBSTITUTE(OpCode!H92,"|","/")&amp;" | ```"&amp;OpCode!I92&amp;"``` | "&amp;OpCode!J92&amp;" |"&amp;OpCode!K92&amp;" |"</f>
        <v>| 5A | MOV | E,D | data | reg | 1 | 1 | 4 | ```........``` | MOV E, D |E &lt;- D |</v>
      </c>
    </row>
    <row r="153" spans="1:1" x14ac:dyDescent="0.2">
      <c r="A153" s="5" t="str">
        <f>"| "&amp;OpCode!A93&amp;" | "&amp;OpCode!B93&amp;" | "&amp;OpCode!C93&amp;" | "&amp;OpCode!D93&amp;" | "&amp;OpCode!E93&amp;" | "&amp;OpCode!F93&amp;" | "&amp;SUBSTITUTE(OpCode!G93,"|","/")&amp;" | "&amp;SUBSTITUTE(OpCode!H93,"|","/")&amp;" | ```"&amp;OpCode!I93&amp;"``` | "&amp;OpCode!J93&amp;" |"&amp;OpCode!K93&amp;" |"</f>
        <v>| 5B | MOV | E,E | data | reg | 1 | 1 | 4 | ```........``` | MOV E, E |E &lt;- E |</v>
      </c>
    </row>
    <row r="154" spans="1:1" x14ac:dyDescent="0.2">
      <c r="A154" s="5" t="str">
        <f>"| "&amp;OpCode!A94&amp;" | "&amp;OpCode!B94&amp;" | "&amp;OpCode!C94&amp;" | "&amp;OpCode!D94&amp;" | "&amp;OpCode!E94&amp;" | "&amp;OpCode!F94&amp;" | "&amp;SUBSTITUTE(OpCode!G94,"|","/")&amp;" | "&amp;SUBSTITUTE(OpCode!H94,"|","/")&amp;" | ```"&amp;OpCode!I94&amp;"``` | "&amp;OpCode!J94&amp;" |"&amp;OpCode!K94&amp;" |"</f>
        <v>| 5C | MOV | E,H | data | reg | 1 | 1 | 4 | ```........``` | MOV E, H |E &lt;- H |</v>
      </c>
    </row>
    <row r="155" spans="1:1" x14ac:dyDescent="0.2">
      <c r="A155" s="5" t="str">
        <f>"| "&amp;OpCode!A95&amp;" | "&amp;OpCode!B95&amp;" | "&amp;OpCode!C95&amp;" | "&amp;OpCode!D95&amp;" | "&amp;OpCode!E95&amp;" | "&amp;OpCode!F95&amp;" | "&amp;SUBSTITUTE(OpCode!G95,"|","/")&amp;" | "&amp;SUBSTITUTE(OpCode!H95,"|","/")&amp;" | ```"&amp;OpCode!I95&amp;"``` | "&amp;OpCode!J95&amp;" |"&amp;OpCode!K95&amp;" |"</f>
        <v>| 5D | MOV | E,L | data | reg | 1 | 1 | 4 | ```........``` | MOV E, L |E &lt;- L |</v>
      </c>
    </row>
    <row r="156" spans="1:1" x14ac:dyDescent="0.2">
      <c r="A156" s="5" t="str">
        <f>"| "&amp;OpCode!A96&amp;" | "&amp;OpCode!B96&amp;" | "&amp;OpCode!C96&amp;" | "&amp;OpCode!D96&amp;" | "&amp;OpCode!E96&amp;" | "&amp;OpCode!F96&amp;" | "&amp;SUBSTITUTE(OpCode!G96,"|","/")&amp;" | "&amp;SUBSTITUTE(OpCode!H96,"|","/")&amp;" | ```"&amp;OpCode!I96&amp;"``` | "&amp;OpCode!J96&amp;" |"&amp;OpCode!K96&amp;" |"</f>
        <v>| 5E | MOV | E,M | data | ind_reg | 1 | 2 | 7 | ```........``` | MOV E, M |E &lt;- (HL) |</v>
      </c>
    </row>
    <row r="157" spans="1:1" x14ac:dyDescent="0.2">
      <c r="A157" s="5" t="str">
        <f>"| "&amp;OpCode!A97&amp;" | "&amp;OpCode!B97&amp;" | "&amp;OpCode!C97&amp;" | "&amp;OpCode!D97&amp;" | "&amp;OpCode!E97&amp;" | "&amp;OpCode!F97&amp;" | "&amp;SUBSTITUTE(OpCode!G97,"|","/")&amp;" | "&amp;SUBSTITUTE(OpCode!H97,"|","/")&amp;" | ```"&amp;OpCode!I97&amp;"``` | "&amp;OpCode!J97&amp;" |"&amp;OpCode!K97&amp;" |"</f>
        <v>| 5F | MOV | E,A | data | reg | 1 | 1 | 4 | ```........``` | MOV E, A |E &lt;- A |</v>
      </c>
    </row>
    <row r="158" spans="1:1" x14ac:dyDescent="0.2">
      <c r="A158" s="5" t="str">
        <f>"| "&amp;OpCode!A98&amp;" | "&amp;OpCode!B98&amp;" | "&amp;OpCode!C98&amp;" | "&amp;OpCode!D98&amp;" | "&amp;OpCode!E98&amp;" | "&amp;OpCode!F98&amp;" | "&amp;SUBSTITUTE(OpCode!G98,"|","/")&amp;" | "&amp;SUBSTITUTE(OpCode!H98,"|","/")&amp;" | ```"&amp;OpCode!I98&amp;"``` | "&amp;OpCode!J98&amp;" |"&amp;OpCode!K98&amp;" |"</f>
        <v>| 60 | MOV | H,B | data | reg | 1 | 1 | 4 | ```........``` | MOV H, B |H &lt;- B |</v>
      </c>
    </row>
    <row r="159" spans="1:1" x14ac:dyDescent="0.2">
      <c r="A159" s="5" t="str">
        <f>"| "&amp;OpCode!A99&amp;" | "&amp;OpCode!B99&amp;" | "&amp;OpCode!C99&amp;" | "&amp;OpCode!D99&amp;" | "&amp;OpCode!E99&amp;" | "&amp;OpCode!F99&amp;" | "&amp;SUBSTITUTE(OpCode!G99,"|","/")&amp;" | "&amp;SUBSTITUTE(OpCode!H99,"|","/")&amp;" | ```"&amp;OpCode!I99&amp;"``` | "&amp;OpCode!J99&amp;" |"&amp;OpCode!K99&amp;" |"</f>
        <v>| 61 | MOV | H,C | data | reg | 1 | 1 | 4 | ```........``` | MOV H, C |H &lt;- C |</v>
      </c>
    </row>
    <row r="160" spans="1:1" x14ac:dyDescent="0.2">
      <c r="A160" s="5" t="str">
        <f>"| "&amp;OpCode!A100&amp;" | "&amp;OpCode!B100&amp;" | "&amp;OpCode!C100&amp;" | "&amp;OpCode!D100&amp;" | "&amp;OpCode!E100&amp;" | "&amp;OpCode!F100&amp;" | "&amp;SUBSTITUTE(OpCode!G100,"|","/")&amp;" | "&amp;SUBSTITUTE(OpCode!H100,"|","/")&amp;" | ```"&amp;OpCode!I100&amp;"``` | "&amp;OpCode!J100&amp;" |"&amp;OpCode!K100&amp;" |"</f>
        <v>| 62 | MOV | H,D | data | reg | 1 | 1 | 4 | ```........``` | MOV H, D |H &lt;- D |</v>
      </c>
    </row>
    <row r="161" spans="1:1" x14ac:dyDescent="0.2">
      <c r="A161" s="5" t="str">
        <f>"| "&amp;OpCode!A101&amp;" | "&amp;OpCode!B101&amp;" | "&amp;OpCode!C101&amp;" | "&amp;OpCode!D101&amp;" | "&amp;OpCode!E101&amp;" | "&amp;OpCode!F101&amp;" | "&amp;SUBSTITUTE(OpCode!G101,"|","/")&amp;" | "&amp;SUBSTITUTE(OpCode!H101,"|","/")&amp;" | ```"&amp;OpCode!I101&amp;"``` | "&amp;OpCode!J101&amp;" |"&amp;OpCode!K101&amp;" |"</f>
        <v>| 63 | MOV | H,E | data | reg | 1 | 1 | 4 | ```........``` | MOV H, E |H &lt;- E |</v>
      </c>
    </row>
    <row r="162" spans="1:1" x14ac:dyDescent="0.2">
      <c r="A162" s="5" t="str">
        <f>"| "&amp;OpCode!A102&amp;" | "&amp;OpCode!B102&amp;" | "&amp;OpCode!C102&amp;" | "&amp;OpCode!D102&amp;" | "&amp;OpCode!E102&amp;" | "&amp;OpCode!F102&amp;" | "&amp;SUBSTITUTE(OpCode!G102,"|","/")&amp;" | "&amp;SUBSTITUTE(OpCode!H102,"|","/")&amp;" | ```"&amp;OpCode!I102&amp;"``` | "&amp;OpCode!J102&amp;" |"&amp;OpCode!K102&amp;" |"</f>
        <v>| 64 | MOV | H,H | data | reg | 1 | 1 | 4 | ```........``` | MOV H, H |H &lt;- H |</v>
      </c>
    </row>
    <row r="163" spans="1:1" x14ac:dyDescent="0.2">
      <c r="A163" s="5" t="str">
        <f>"| "&amp;OpCode!A103&amp;" | "&amp;OpCode!B103&amp;" | "&amp;OpCode!C103&amp;" | "&amp;OpCode!D103&amp;" | "&amp;OpCode!E103&amp;" | "&amp;OpCode!F103&amp;" | "&amp;SUBSTITUTE(OpCode!G103,"|","/")&amp;" | "&amp;SUBSTITUTE(OpCode!H103,"|","/")&amp;" | ```"&amp;OpCode!I103&amp;"``` | "&amp;OpCode!J103&amp;" |"&amp;OpCode!K103&amp;" |"</f>
        <v>| 65 | MOV | H,L | data | reg | 1 | 1 | 4 | ```........``` | MOV H, L |H &lt;- L |</v>
      </c>
    </row>
    <row r="164" spans="1:1" x14ac:dyDescent="0.2">
      <c r="A164" s="5" t="str">
        <f>"| "&amp;OpCode!A104&amp;" | "&amp;OpCode!B104&amp;" | "&amp;OpCode!C104&amp;" | "&amp;OpCode!D104&amp;" | "&amp;OpCode!E104&amp;" | "&amp;OpCode!F104&amp;" | "&amp;SUBSTITUTE(OpCode!G104,"|","/")&amp;" | "&amp;SUBSTITUTE(OpCode!H104,"|","/")&amp;" | ```"&amp;OpCode!I104&amp;"``` | "&amp;OpCode!J104&amp;" |"&amp;OpCode!K104&amp;" |"</f>
        <v>| 66 | MOV | H,M | data | ind_reg | 1 | 2 | 7 | ```........``` | MOV H, M |H &lt;- (HL) |</v>
      </c>
    </row>
    <row r="165" spans="1:1" x14ac:dyDescent="0.2">
      <c r="A165" s="5" t="str">
        <f>"| "&amp;OpCode!A105&amp;" | "&amp;OpCode!B105&amp;" | "&amp;OpCode!C105&amp;" | "&amp;OpCode!D105&amp;" | "&amp;OpCode!E105&amp;" | "&amp;OpCode!F105&amp;" | "&amp;SUBSTITUTE(OpCode!G105,"|","/")&amp;" | "&amp;SUBSTITUTE(OpCode!H105,"|","/")&amp;" | ```"&amp;OpCode!I105&amp;"``` | "&amp;OpCode!J105&amp;" |"&amp;OpCode!K105&amp;" |"</f>
        <v>| 67 | MOV | H,A | data | reg | 1 | 1 | 4 | ```........``` | MOV H, A |H &lt;- A |</v>
      </c>
    </row>
    <row r="166" spans="1:1" x14ac:dyDescent="0.2">
      <c r="A166" s="5" t="str">
        <f>"| "&amp;OpCode!A106&amp;" | "&amp;OpCode!B106&amp;" | "&amp;OpCode!C106&amp;" | "&amp;OpCode!D106&amp;" | "&amp;OpCode!E106&amp;" | "&amp;OpCode!F106&amp;" | "&amp;SUBSTITUTE(OpCode!G106,"|","/")&amp;" | "&amp;SUBSTITUTE(OpCode!H106,"|","/")&amp;" | ```"&amp;OpCode!I106&amp;"``` | "&amp;OpCode!J106&amp;" |"&amp;OpCode!K106&amp;" |"</f>
        <v>| 68 | MOV | L,B | data | reg | 1 | 1 | 4 | ```........``` | MOV L, B |L &lt;- B |</v>
      </c>
    </row>
    <row r="167" spans="1:1" x14ac:dyDescent="0.2">
      <c r="A167" s="5" t="str">
        <f>"| "&amp;OpCode!A107&amp;" | "&amp;OpCode!B107&amp;" | "&amp;OpCode!C107&amp;" | "&amp;OpCode!D107&amp;" | "&amp;OpCode!E107&amp;" | "&amp;OpCode!F107&amp;" | "&amp;SUBSTITUTE(OpCode!G107,"|","/")&amp;" | "&amp;SUBSTITUTE(OpCode!H107,"|","/")&amp;" | ```"&amp;OpCode!I107&amp;"``` | "&amp;OpCode!J107&amp;" |"&amp;OpCode!K107&amp;" |"</f>
        <v>| 69 | MOV | L,C | data | reg | 1 | 1 | 4 | ```........``` | MOV L, C |L &lt;- C |</v>
      </c>
    </row>
    <row r="168" spans="1:1" x14ac:dyDescent="0.2">
      <c r="A168" s="5" t="str">
        <f>"| "&amp;OpCode!A108&amp;" | "&amp;OpCode!B108&amp;" | "&amp;OpCode!C108&amp;" | "&amp;OpCode!D108&amp;" | "&amp;OpCode!E108&amp;" | "&amp;OpCode!F108&amp;" | "&amp;SUBSTITUTE(OpCode!G108,"|","/")&amp;" | "&amp;SUBSTITUTE(OpCode!H108,"|","/")&amp;" | ```"&amp;OpCode!I108&amp;"``` | "&amp;OpCode!J108&amp;" |"&amp;OpCode!K108&amp;" |"</f>
        <v>| 6A | MOV | L,D | data | reg | 1 | 1 | 4 | ```........``` | MOV L, D |L &lt;- D |</v>
      </c>
    </row>
    <row r="169" spans="1:1" x14ac:dyDescent="0.2">
      <c r="A169" s="5" t="str">
        <f>"| "&amp;OpCode!A109&amp;" | "&amp;OpCode!B109&amp;" | "&amp;OpCode!C109&amp;" | "&amp;OpCode!D109&amp;" | "&amp;OpCode!E109&amp;" | "&amp;OpCode!F109&amp;" | "&amp;SUBSTITUTE(OpCode!G109,"|","/")&amp;" | "&amp;SUBSTITUTE(OpCode!H109,"|","/")&amp;" | ```"&amp;OpCode!I109&amp;"``` | "&amp;OpCode!J109&amp;" |"&amp;OpCode!K109&amp;" |"</f>
        <v>| 6B | MOV | L,E | data | reg | 1 | 1 | 4 | ```........``` | MOV L, E |L &lt;- E |</v>
      </c>
    </row>
    <row r="170" spans="1:1" x14ac:dyDescent="0.2">
      <c r="A170" s="5" t="str">
        <f>"| "&amp;OpCode!A110&amp;" | "&amp;OpCode!B110&amp;" | "&amp;OpCode!C110&amp;" | "&amp;OpCode!D110&amp;" | "&amp;OpCode!E110&amp;" | "&amp;OpCode!F110&amp;" | "&amp;SUBSTITUTE(OpCode!G110,"|","/")&amp;" | "&amp;SUBSTITUTE(OpCode!H110,"|","/")&amp;" | ```"&amp;OpCode!I110&amp;"``` | "&amp;OpCode!J110&amp;" |"&amp;OpCode!K110&amp;" |"</f>
        <v>| 6C | MOV | L,H | data | reg | 1 | 1 | 4 | ```........``` | MOV L, H |L &lt;- H |</v>
      </c>
    </row>
    <row r="171" spans="1:1" x14ac:dyDescent="0.2">
      <c r="A171" s="5" t="str">
        <f>"| "&amp;OpCode!A111&amp;" | "&amp;OpCode!B111&amp;" | "&amp;OpCode!C111&amp;" | "&amp;OpCode!D111&amp;" | "&amp;OpCode!E111&amp;" | "&amp;OpCode!F111&amp;" | "&amp;SUBSTITUTE(OpCode!G111,"|","/")&amp;" | "&amp;SUBSTITUTE(OpCode!H111,"|","/")&amp;" | ```"&amp;OpCode!I111&amp;"``` | "&amp;OpCode!J111&amp;" |"&amp;OpCode!K111&amp;" |"</f>
        <v>| 6D | MOV | L,L | data | reg | 1 | 1 | 4 | ```........``` | MOV L, L |L &lt;- L |</v>
      </c>
    </row>
    <row r="172" spans="1:1" x14ac:dyDescent="0.2">
      <c r="A172" s="5" t="str">
        <f>"| "&amp;OpCode!A112&amp;" | "&amp;OpCode!B112&amp;" | "&amp;OpCode!C112&amp;" | "&amp;OpCode!D112&amp;" | "&amp;OpCode!E112&amp;" | "&amp;OpCode!F112&amp;" | "&amp;SUBSTITUTE(OpCode!G112,"|","/")&amp;" | "&amp;SUBSTITUTE(OpCode!H112,"|","/")&amp;" | ```"&amp;OpCode!I112&amp;"``` | "&amp;OpCode!J112&amp;" |"&amp;OpCode!K112&amp;" |"</f>
        <v>| 6E | MOV | L,M | data | ind_reg | 1 | 2 | 7 | ```........``` | MOV L, M |L &lt;- (HL) |</v>
      </c>
    </row>
    <row r="173" spans="1:1" x14ac:dyDescent="0.2">
      <c r="A173" s="5" t="str">
        <f>"| "&amp;OpCode!A113&amp;" | "&amp;OpCode!B113&amp;" | "&amp;OpCode!C113&amp;" | "&amp;OpCode!D113&amp;" | "&amp;OpCode!E113&amp;" | "&amp;OpCode!F113&amp;" | "&amp;SUBSTITUTE(OpCode!G113,"|","/")&amp;" | "&amp;SUBSTITUTE(OpCode!H113,"|","/")&amp;" | ```"&amp;OpCode!I113&amp;"``` | "&amp;OpCode!J113&amp;" |"&amp;OpCode!K113&amp;" |"</f>
        <v>| 6F | MOV | L,A | data | reg | 1 | 1 | 4 | ```........``` | MOV L, A |L &lt;- A |</v>
      </c>
    </row>
    <row r="174" spans="1:1" x14ac:dyDescent="0.2">
      <c r="A174" s="5" t="str">
        <f>"| "&amp;OpCode!A114&amp;" | "&amp;OpCode!B114&amp;" | "&amp;OpCode!C114&amp;" | "&amp;OpCode!D114&amp;" | "&amp;OpCode!E114&amp;" | "&amp;OpCode!F114&amp;" | "&amp;SUBSTITUTE(OpCode!G114,"|","/")&amp;" | "&amp;SUBSTITUTE(OpCode!H114,"|","/")&amp;" | ```"&amp;OpCode!I114&amp;"``` | "&amp;OpCode!J114&amp;" |"&amp;OpCode!K114&amp;" |"</f>
        <v>| 70 | MOV | M,B | data | ind_reg | 1 | 2 | 7 | ```........``` | MOV M, B |(HL) &lt;- B |</v>
      </c>
    </row>
    <row r="175" spans="1:1" x14ac:dyDescent="0.2">
      <c r="A175" s="5" t="str">
        <f>"| "&amp;OpCode!A115&amp;" | "&amp;OpCode!B115&amp;" | "&amp;OpCode!C115&amp;" | "&amp;OpCode!D115&amp;" | "&amp;OpCode!E115&amp;" | "&amp;OpCode!F115&amp;" | "&amp;SUBSTITUTE(OpCode!G115,"|","/")&amp;" | "&amp;SUBSTITUTE(OpCode!H115,"|","/")&amp;" | ```"&amp;OpCode!I115&amp;"``` | "&amp;OpCode!J115&amp;" |"&amp;OpCode!K115&amp;" |"</f>
        <v>| 71 | MOV | M,C | data | ind_reg | 1 | 2 | 7 | ```........``` | MOV M, C |(HL) &lt;- C |</v>
      </c>
    </row>
    <row r="176" spans="1:1" x14ac:dyDescent="0.2">
      <c r="A176" s="5" t="str">
        <f>"| "&amp;OpCode!A116&amp;" | "&amp;OpCode!B116&amp;" | "&amp;OpCode!C116&amp;" | "&amp;OpCode!D116&amp;" | "&amp;OpCode!E116&amp;" | "&amp;OpCode!F116&amp;" | "&amp;SUBSTITUTE(OpCode!G116,"|","/")&amp;" | "&amp;SUBSTITUTE(OpCode!H116,"|","/")&amp;" | ```"&amp;OpCode!I116&amp;"``` | "&amp;OpCode!J116&amp;" |"&amp;OpCode!K116&amp;" |"</f>
        <v>| 72 | MOV | M,D | data | ind_reg | 1 | 2 | 7 | ```........``` | MOV M, D |(HL) &lt;- D |</v>
      </c>
    </row>
    <row r="177" spans="1:1" x14ac:dyDescent="0.2">
      <c r="A177" s="5" t="str">
        <f>"| "&amp;OpCode!A117&amp;" | "&amp;OpCode!B117&amp;" | "&amp;OpCode!C117&amp;" | "&amp;OpCode!D117&amp;" | "&amp;OpCode!E117&amp;" | "&amp;OpCode!F117&amp;" | "&amp;SUBSTITUTE(OpCode!G117,"|","/")&amp;" | "&amp;SUBSTITUTE(OpCode!H117,"|","/")&amp;" | ```"&amp;OpCode!I117&amp;"``` | "&amp;OpCode!J117&amp;" |"&amp;OpCode!K117&amp;" |"</f>
        <v>| 73 | MOV | M,E | data | ind_reg | 1 | 2 | 7 | ```........``` | MOV M, E |(HL) &lt;- E |</v>
      </c>
    </row>
    <row r="178" spans="1:1" x14ac:dyDescent="0.2">
      <c r="A178" s="5" t="str">
        <f>"| "&amp;OpCode!A118&amp;" | "&amp;OpCode!B118&amp;" | "&amp;OpCode!C118&amp;" | "&amp;OpCode!D118&amp;" | "&amp;OpCode!E118&amp;" | "&amp;OpCode!F118&amp;" | "&amp;SUBSTITUTE(OpCode!G118,"|","/")&amp;" | "&amp;SUBSTITUTE(OpCode!H118,"|","/")&amp;" | ```"&amp;OpCode!I118&amp;"``` | "&amp;OpCode!J118&amp;" |"&amp;OpCode!K118&amp;" |"</f>
        <v>| 74 | MOV | M,H | data | ind_reg | 1 | 2 | 7 | ```........``` | MOV M, H |(HL) &lt;- H |</v>
      </c>
    </row>
    <row r="179" spans="1:1" x14ac:dyDescent="0.2">
      <c r="A179" s="5" t="str">
        <f>"| "&amp;OpCode!A119&amp;" | "&amp;OpCode!B119&amp;" | "&amp;OpCode!C119&amp;" | "&amp;OpCode!D119&amp;" | "&amp;OpCode!E119&amp;" | "&amp;OpCode!F119&amp;" | "&amp;SUBSTITUTE(OpCode!G119,"|","/")&amp;" | "&amp;SUBSTITUTE(OpCode!H119,"|","/")&amp;" | ```"&amp;OpCode!I119&amp;"``` | "&amp;OpCode!J119&amp;" |"&amp;OpCode!K119&amp;" |"</f>
        <v>| 75 | MOV | M,L | data | ind_reg | 1 | 2 | 7 | ```........``` | MOV M, L |(HL) &lt;- L |</v>
      </c>
    </row>
    <row r="180" spans="1:1" x14ac:dyDescent="0.2">
      <c r="A180" s="5" t="str">
        <f>"| "&amp;OpCode!A120&amp;" | "&amp;OpCode!B120&amp;" | "&amp;OpCode!C120&amp;" | "&amp;OpCode!D120&amp;" | "&amp;OpCode!E120&amp;" | "&amp;OpCode!F120&amp;" | "&amp;SUBSTITUTE(OpCode!G120,"|","/")&amp;" | "&amp;SUBSTITUTE(OpCode!H120,"|","/")&amp;" | ```"&amp;OpCode!I120&amp;"``` | "&amp;OpCode!J120&amp;" |"&amp;OpCode!K120&amp;" |"</f>
        <v>| 76 | HLT |  | control | imp | 1 | 1 | 5 | ```........``` | HLT |Special |</v>
      </c>
    </row>
    <row r="181" spans="1:1" x14ac:dyDescent="0.2">
      <c r="A181" s="5" t="str">
        <f>"| "&amp;OpCode!A121&amp;" | "&amp;OpCode!B121&amp;" | "&amp;OpCode!C121&amp;" | "&amp;OpCode!D121&amp;" | "&amp;OpCode!E121&amp;" | "&amp;OpCode!F121&amp;" | "&amp;SUBSTITUTE(OpCode!G121,"|","/")&amp;" | "&amp;SUBSTITUTE(OpCode!H121,"|","/")&amp;" | ```"&amp;OpCode!I121&amp;"``` | "&amp;OpCode!J121&amp;" |"&amp;OpCode!K121&amp;" |"</f>
        <v>| 77 | MOV | M,A | data | ind_reg | 1 | 2 | 7 | ```........``` | MOV M, A |(HL) &lt;- A |</v>
      </c>
    </row>
    <row r="182" spans="1:1" x14ac:dyDescent="0.2">
      <c r="A182" s="5" t="str">
        <f>"| "&amp;OpCode!A122&amp;" | "&amp;OpCode!B122&amp;" | "&amp;OpCode!C122&amp;" | "&amp;OpCode!D122&amp;" | "&amp;OpCode!E122&amp;" | "&amp;OpCode!F122&amp;" | "&amp;SUBSTITUTE(OpCode!G122,"|","/")&amp;" | "&amp;SUBSTITUTE(OpCode!H122,"|","/")&amp;" | ```"&amp;OpCode!I122&amp;"``` | "&amp;OpCode!J122&amp;" |"&amp;OpCode!K122&amp;" |"</f>
        <v>| 78 | MOV | A,B | data | reg | 1 | 1 | 4 | ```........``` | MOV A, B |A &lt;- B |</v>
      </c>
    </row>
    <row r="183" spans="1:1" x14ac:dyDescent="0.2">
      <c r="A183" s="5" t="str">
        <f>"| "&amp;OpCode!A123&amp;" | "&amp;OpCode!B123&amp;" | "&amp;OpCode!C123&amp;" | "&amp;OpCode!D123&amp;" | "&amp;OpCode!E123&amp;" | "&amp;OpCode!F123&amp;" | "&amp;SUBSTITUTE(OpCode!G123,"|","/")&amp;" | "&amp;SUBSTITUTE(OpCode!H123,"|","/")&amp;" | ```"&amp;OpCode!I123&amp;"``` | "&amp;OpCode!J123&amp;" |"&amp;OpCode!K123&amp;" |"</f>
        <v>| 79 | MOV | A,C | data | reg | 1 | 1 | 4 | ```........``` | MOV A, C |A &lt;- C |</v>
      </c>
    </row>
    <row r="184" spans="1:1" x14ac:dyDescent="0.2">
      <c r="A184" s="5" t="str">
        <f>"| "&amp;OpCode!A124&amp;" | "&amp;OpCode!B124&amp;" | "&amp;OpCode!C124&amp;" | "&amp;OpCode!D124&amp;" | "&amp;OpCode!E124&amp;" | "&amp;OpCode!F124&amp;" | "&amp;SUBSTITUTE(OpCode!G124,"|","/")&amp;" | "&amp;SUBSTITUTE(OpCode!H124,"|","/")&amp;" | ```"&amp;OpCode!I124&amp;"``` | "&amp;OpCode!J124&amp;" |"&amp;OpCode!K124&amp;" |"</f>
        <v>| 7A | MOV | A,D | data | reg | 1 | 1 | 4 | ```........``` | MOV A, D |A &lt;- D |</v>
      </c>
    </row>
    <row r="185" spans="1:1" x14ac:dyDescent="0.2">
      <c r="A185" s="5" t="str">
        <f>"| "&amp;OpCode!A125&amp;" | "&amp;OpCode!B125&amp;" | "&amp;OpCode!C125&amp;" | "&amp;OpCode!D125&amp;" | "&amp;OpCode!E125&amp;" | "&amp;OpCode!F125&amp;" | "&amp;SUBSTITUTE(OpCode!G125,"|","/")&amp;" | "&amp;SUBSTITUTE(OpCode!H125,"|","/")&amp;" | ```"&amp;OpCode!I125&amp;"``` | "&amp;OpCode!J125&amp;" |"&amp;OpCode!K125&amp;" |"</f>
        <v>| 7B | MOV | A,E | data | reg | 1 | 1 | 4 | ```........``` | MOV A, E |A &lt;- E |</v>
      </c>
    </row>
    <row r="186" spans="1:1" x14ac:dyDescent="0.2">
      <c r="A186" s="5" t="str">
        <f>"| "&amp;OpCode!A126&amp;" | "&amp;OpCode!B126&amp;" | "&amp;OpCode!C126&amp;" | "&amp;OpCode!D126&amp;" | "&amp;OpCode!E126&amp;" | "&amp;OpCode!F126&amp;" | "&amp;SUBSTITUTE(OpCode!G126,"|","/")&amp;" | "&amp;SUBSTITUTE(OpCode!H126,"|","/")&amp;" | ```"&amp;OpCode!I126&amp;"``` | "&amp;OpCode!J126&amp;" |"&amp;OpCode!K126&amp;" |"</f>
        <v>| 7C | MOV | A,H | data | reg | 1 | 1 | 4 | ```........``` | MOV A, H |A &lt;- H |</v>
      </c>
    </row>
    <row r="187" spans="1:1" x14ac:dyDescent="0.2">
      <c r="A187" s="5" t="str">
        <f>"| "&amp;OpCode!A127&amp;" | "&amp;OpCode!B127&amp;" | "&amp;OpCode!C127&amp;" | "&amp;OpCode!D127&amp;" | "&amp;OpCode!E127&amp;" | "&amp;OpCode!F127&amp;" | "&amp;SUBSTITUTE(OpCode!G127,"|","/")&amp;" | "&amp;SUBSTITUTE(OpCode!H127,"|","/")&amp;" | ```"&amp;OpCode!I127&amp;"``` | "&amp;OpCode!J127&amp;" |"&amp;OpCode!K127&amp;" |"</f>
        <v>| 7D | MOV | A,L | data | reg | 1 | 1 | 4 | ```........``` | MOV A, L |A &lt;- L |</v>
      </c>
    </row>
    <row r="188" spans="1:1" x14ac:dyDescent="0.2">
      <c r="A188" s="5" t="str">
        <f>"| "&amp;OpCode!A128&amp;" | "&amp;OpCode!B128&amp;" | "&amp;OpCode!C128&amp;" | "&amp;OpCode!D128&amp;" | "&amp;OpCode!E128&amp;" | "&amp;OpCode!F128&amp;" | "&amp;SUBSTITUTE(OpCode!G128,"|","/")&amp;" | "&amp;SUBSTITUTE(OpCode!H128,"|","/")&amp;" | ```"&amp;OpCode!I128&amp;"``` | "&amp;OpCode!J128&amp;" |"&amp;OpCode!K128&amp;" |"</f>
        <v>| 7E | MOV | A,M | data | ind_reg | 1 | 2 | 7 | ```........``` | MOV A, M |A &lt;- (HL) |</v>
      </c>
    </row>
    <row r="189" spans="1:1" x14ac:dyDescent="0.2">
      <c r="A189" s="5" t="str">
        <f>"| "&amp;OpCode!A129&amp;" | "&amp;OpCode!B129&amp;" | "&amp;OpCode!C129&amp;" | "&amp;OpCode!D129&amp;" | "&amp;OpCode!E129&amp;" | "&amp;OpCode!F129&amp;" | "&amp;SUBSTITUTE(OpCode!G129,"|","/")&amp;" | "&amp;SUBSTITUTE(OpCode!H129,"|","/")&amp;" | ```"&amp;OpCode!I129&amp;"``` | "&amp;OpCode!J129&amp;" |"&amp;OpCode!K129&amp;" |"</f>
        <v>| 7F | MOV | A,A | data | reg | 1 | 1 | 4 | ```........``` | MOV A, A |A &lt;- A |</v>
      </c>
    </row>
    <row r="190" spans="1:1" x14ac:dyDescent="0.2">
      <c r="A190" s="5" t="str">
        <f>"| "&amp;OpCode!A130&amp;" | "&amp;OpCode!B130&amp;" | "&amp;OpCode!C130&amp;" | "&amp;OpCode!D130&amp;" | "&amp;OpCode!E130&amp;" | "&amp;OpCode!F130&amp;" | "&amp;SUBSTITUTE(OpCode!G130,"|","/")&amp;" | "&amp;SUBSTITUTE(OpCode!H130,"|","/")&amp;" | ```"&amp;OpCode!I130&amp;"``` | "&amp;OpCode!J130&amp;" |"&amp;OpCode!K130&amp;" |"</f>
        <v>| 80 | ADD | B | arith | reg | 1 | 1 | 4 | ```SZKA.PVC``` | ADD B |A &lt;- A + B |</v>
      </c>
    </row>
    <row r="191" spans="1:1" x14ac:dyDescent="0.2">
      <c r="A191" s="5" t="str">
        <f>"| "&amp;OpCode!A131&amp;" | "&amp;OpCode!B131&amp;" | "&amp;OpCode!C131&amp;" | "&amp;OpCode!D131&amp;" | "&amp;OpCode!E131&amp;" | "&amp;OpCode!F131&amp;" | "&amp;SUBSTITUTE(OpCode!G131,"|","/")&amp;" | "&amp;SUBSTITUTE(OpCode!H131,"|","/")&amp;" | ```"&amp;OpCode!I131&amp;"``` | "&amp;OpCode!J131&amp;" |"&amp;OpCode!K131&amp;" |"</f>
        <v>| 81 | ADD | C | arith | reg | 1 | 1 | 4 | ```SZKA.PVC``` | ADD C |A &lt;- A + C |</v>
      </c>
    </row>
    <row r="192" spans="1:1" x14ac:dyDescent="0.2">
      <c r="A192" s="5" t="str">
        <f>"| "&amp;OpCode!A132&amp;" | "&amp;OpCode!B132&amp;" | "&amp;OpCode!C132&amp;" | "&amp;OpCode!D132&amp;" | "&amp;OpCode!E132&amp;" | "&amp;OpCode!F132&amp;" | "&amp;SUBSTITUTE(OpCode!G132,"|","/")&amp;" | "&amp;SUBSTITUTE(OpCode!H132,"|","/")&amp;" | ```"&amp;OpCode!I132&amp;"``` | "&amp;OpCode!J132&amp;" |"&amp;OpCode!K132&amp;" |"</f>
        <v>| 82 | ADD | D | arith | reg | 1 | 1 | 4 | ```SZKA.PVC``` | ADD D |A &lt;- A + D |</v>
      </c>
    </row>
    <row r="193" spans="1:1" x14ac:dyDescent="0.2">
      <c r="A193" s="5" t="str">
        <f>"| "&amp;OpCode!A133&amp;" | "&amp;OpCode!B133&amp;" | "&amp;OpCode!C133&amp;" | "&amp;OpCode!D133&amp;" | "&amp;OpCode!E133&amp;" | "&amp;OpCode!F133&amp;" | "&amp;SUBSTITUTE(OpCode!G133,"|","/")&amp;" | "&amp;SUBSTITUTE(OpCode!H133,"|","/")&amp;" | ```"&amp;OpCode!I133&amp;"``` | "&amp;OpCode!J133&amp;" |"&amp;OpCode!K133&amp;" |"</f>
        <v>| 83 | ADD | E | arith | reg | 1 | 1 | 4 | ```SZKA.PVC``` | ADD E |A &lt;- A + E |</v>
      </c>
    </row>
    <row r="194" spans="1:1" x14ac:dyDescent="0.2">
      <c r="A194" s="5" t="str">
        <f>"| "&amp;OpCode!A134&amp;" | "&amp;OpCode!B134&amp;" | "&amp;OpCode!C134&amp;" | "&amp;OpCode!D134&amp;" | "&amp;OpCode!E134&amp;" | "&amp;OpCode!F134&amp;" | "&amp;SUBSTITUTE(OpCode!G134,"|","/")&amp;" | "&amp;SUBSTITUTE(OpCode!H134,"|","/")&amp;" | ```"&amp;OpCode!I134&amp;"``` | "&amp;OpCode!J134&amp;" |"&amp;OpCode!K134&amp;" |"</f>
        <v>| 84 | ADD | H | arith | reg | 1 | 1 | 4 | ```SZKA.PVC``` | ADD H |A &lt;- A + H |</v>
      </c>
    </row>
    <row r="195" spans="1:1" x14ac:dyDescent="0.2">
      <c r="A195" s="5" t="str">
        <f>"| "&amp;OpCode!A135&amp;" | "&amp;OpCode!B135&amp;" | "&amp;OpCode!C135&amp;" | "&amp;OpCode!D135&amp;" | "&amp;OpCode!E135&amp;" | "&amp;OpCode!F135&amp;" | "&amp;SUBSTITUTE(OpCode!G135,"|","/")&amp;" | "&amp;SUBSTITUTE(OpCode!H135,"|","/")&amp;" | ```"&amp;OpCode!I135&amp;"``` | "&amp;OpCode!J135&amp;" |"&amp;OpCode!K135&amp;" |"</f>
        <v>| 85 | ADD | L | arith | reg | 1 | 1 | 4 | ```SZKA.PVC``` | ADD L |A &lt;- A + L |</v>
      </c>
    </row>
    <row r="196" spans="1:1" x14ac:dyDescent="0.2">
      <c r="A196" s="5" t="str">
        <f>"| "&amp;OpCode!A136&amp;" | "&amp;OpCode!B136&amp;" | "&amp;OpCode!C136&amp;" | "&amp;OpCode!D136&amp;" | "&amp;OpCode!E136&amp;" | "&amp;OpCode!F136&amp;" | "&amp;SUBSTITUTE(OpCode!G136,"|","/")&amp;" | "&amp;SUBSTITUTE(OpCode!H136,"|","/")&amp;" | ```"&amp;OpCode!I136&amp;"``` | "&amp;OpCode!J136&amp;" |"&amp;OpCode!K136&amp;" |"</f>
        <v>| 86 | ADD | M | arith | ind_reg | 1 | 2 | 7 | ```SZKA.PVC``` | ADD M |A &lt;- A + (HL) |</v>
      </c>
    </row>
    <row r="197" spans="1:1" x14ac:dyDescent="0.2">
      <c r="A197" s="5" t="str">
        <f>"| "&amp;OpCode!A137&amp;" | "&amp;OpCode!B137&amp;" | "&amp;OpCode!C137&amp;" | "&amp;OpCode!D137&amp;" | "&amp;OpCode!E137&amp;" | "&amp;OpCode!F137&amp;" | "&amp;SUBSTITUTE(OpCode!G137,"|","/")&amp;" | "&amp;SUBSTITUTE(OpCode!H137,"|","/")&amp;" | ```"&amp;OpCode!I137&amp;"``` | "&amp;OpCode!J137&amp;" |"&amp;OpCode!K137&amp;" |"</f>
        <v>| 87 | ADD | A | arith | reg | 1 | 1 | 4 | ```SZKA.PVC``` | ADD A |A &lt;- A + A |</v>
      </c>
    </row>
    <row r="198" spans="1:1" x14ac:dyDescent="0.2">
      <c r="A198" s="5" t="str">
        <f>"| "&amp;OpCode!A138&amp;" | "&amp;OpCode!B138&amp;" | "&amp;OpCode!C138&amp;" | "&amp;OpCode!D138&amp;" | "&amp;OpCode!E138&amp;" | "&amp;OpCode!F138&amp;" | "&amp;SUBSTITUTE(OpCode!G138,"|","/")&amp;" | "&amp;SUBSTITUTE(OpCode!H138,"|","/")&amp;" | ```"&amp;OpCode!I138&amp;"``` | "&amp;OpCode!J138&amp;" |"&amp;OpCode!K138&amp;" |"</f>
        <v>| 88 | ADC | B | arith | reg | 1 | 1 | 4 | ```SZKA.PVC``` | ADC B |A &lt;- A + B + CY |</v>
      </c>
    </row>
    <row r="199" spans="1:1" x14ac:dyDescent="0.2">
      <c r="A199" s="5" t="str">
        <f>"| "&amp;OpCode!A139&amp;" | "&amp;OpCode!B139&amp;" | "&amp;OpCode!C139&amp;" | "&amp;OpCode!D139&amp;" | "&amp;OpCode!E139&amp;" | "&amp;OpCode!F139&amp;" | "&amp;SUBSTITUTE(OpCode!G139,"|","/")&amp;" | "&amp;SUBSTITUTE(OpCode!H139,"|","/")&amp;" | ```"&amp;OpCode!I139&amp;"``` | "&amp;OpCode!J139&amp;" |"&amp;OpCode!K139&amp;" |"</f>
        <v>| 89 | ADC | C | arith | reg | 1 | 1 | 4 | ```SZKA.PVC``` | ADC C |A &lt;- A + C + CY |</v>
      </c>
    </row>
    <row r="200" spans="1:1" x14ac:dyDescent="0.2">
      <c r="A200" s="5" t="str">
        <f>"| "&amp;OpCode!A140&amp;" | "&amp;OpCode!B140&amp;" | "&amp;OpCode!C140&amp;" | "&amp;OpCode!D140&amp;" | "&amp;OpCode!E140&amp;" | "&amp;OpCode!F140&amp;" | "&amp;SUBSTITUTE(OpCode!G140,"|","/")&amp;" | "&amp;SUBSTITUTE(OpCode!H140,"|","/")&amp;" | ```"&amp;OpCode!I140&amp;"``` | "&amp;OpCode!J140&amp;" |"&amp;OpCode!K140&amp;" |"</f>
        <v>| 8A | ADC | D | arith | reg | 1 | 1 | 4 | ```SZKA.PVC``` | ADC D |A &lt;- A + D + CY |</v>
      </c>
    </row>
    <row r="201" spans="1:1" x14ac:dyDescent="0.2">
      <c r="A201" s="5" t="str">
        <f>"| "&amp;OpCode!A141&amp;" | "&amp;OpCode!B141&amp;" | "&amp;OpCode!C141&amp;" | "&amp;OpCode!D141&amp;" | "&amp;OpCode!E141&amp;" | "&amp;OpCode!F141&amp;" | "&amp;SUBSTITUTE(OpCode!G141,"|","/")&amp;" | "&amp;SUBSTITUTE(OpCode!H141,"|","/")&amp;" | ```"&amp;OpCode!I141&amp;"``` | "&amp;OpCode!J141&amp;" |"&amp;OpCode!K141&amp;" |"</f>
        <v>| 8B | ADC | E | arith | reg | 1 | 1 | 4 | ```SZKA.PVC``` | ADC E |A &lt;- A + E + CY |</v>
      </c>
    </row>
    <row r="202" spans="1:1" x14ac:dyDescent="0.2">
      <c r="A202" s="5" t="str">
        <f>"| "&amp;OpCode!A142&amp;" | "&amp;OpCode!B142&amp;" | "&amp;OpCode!C142&amp;" | "&amp;OpCode!D142&amp;" | "&amp;OpCode!E142&amp;" | "&amp;OpCode!F142&amp;" | "&amp;SUBSTITUTE(OpCode!G142,"|","/")&amp;" | "&amp;SUBSTITUTE(OpCode!H142,"|","/")&amp;" | ```"&amp;OpCode!I142&amp;"``` | "&amp;OpCode!J142&amp;" |"&amp;OpCode!K142&amp;" |"</f>
        <v>| 8C | ADC | H | arith | reg | 1 | 1 | 4 | ```SZKA.PVC``` | ADC H |A &lt;- A + H + CY |</v>
      </c>
    </row>
    <row r="203" spans="1:1" x14ac:dyDescent="0.2">
      <c r="A203" s="5" t="str">
        <f>"| "&amp;OpCode!A143&amp;" | "&amp;OpCode!B143&amp;" | "&amp;OpCode!C143&amp;" | "&amp;OpCode!D143&amp;" | "&amp;OpCode!E143&amp;" | "&amp;OpCode!F143&amp;" | "&amp;SUBSTITUTE(OpCode!G143,"|","/")&amp;" | "&amp;SUBSTITUTE(OpCode!H143,"|","/")&amp;" | ```"&amp;OpCode!I143&amp;"``` | "&amp;OpCode!J143&amp;" |"&amp;OpCode!K143&amp;" |"</f>
        <v>| 8D | ADC | L | arith | reg | 1 | 1 | 4 | ```SZKA.PVC``` | ADC L |A &lt;- A + L + CY |</v>
      </c>
    </row>
    <row r="204" spans="1:1" x14ac:dyDescent="0.2">
      <c r="A204" s="5" t="str">
        <f>"| "&amp;OpCode!A144&amp;" | "&amp;OpCode!B144&amp;" | "&amp;OpCode!C144&amp;" | "&amp;OpCode!D144&amp;" | "&amp;OpCode!E144&amp;" | "&amp;OpCode!F144&amp;" | "&amp;SUBSTITUTE(OpCode!G144,"|","/")&amp;" | "&amp;SUBSTITUTE(OpCode!H144,"|","/")&amp;" | ```"&amp;OpCode!I144&amp;"``` | "&amp;OpCode!J144&amp;" |"&amp;OpCode!K144&amp;" |"</f>
        <v>| 8E | ADC | M | arith | ind_reg | 1 | 2 | 7 | ```SZKA.PVC``` | ADC M |A &lt;- A + (HL) + CY |</v>
      </c>
    </row>
    <row r="205" spans="1:1" x14ac:dyDescent="0.2">
      <c r="A205" s="5" t="str">
        <f>"| "&amp;OpCode!A145&amp;" | "&amp;OpCode!B145&amp;" | "&amp;OpCode!C145&amp;" | "&amp;OpCode!D145&amp;" | "&amp;OpCode!E145&amp;" | "&amp;OpCode!F145&amp;" | "&amp;SUBSTITUTE(OpCode!G145,"|","/")&amp;" | "&amp;SUBSTITUTE(OpCode!H145,"|","/")&amp;" | ```"&amp;OpCode!I145&amp;"``` | "&amp;OpCode!J145&amp;" |"&amp;OpCode!K145&amp;" |"</f>
        <v>| 8F | ADC | A | arith | reg | 1 | 1 | 4 | ```SZKA.PVC``` | ADC A |A &lt;- A + A + CY |</v>
      </c>
    </row>
    <row r="206" spans="1:1" x14ac:dyDescent="0.2">
      <c r="A206" s="5" t="str">
        <f>"| "&amp;OpCode!A146&amp;" | "&amp;OpCode!B146&amp;" | "&amp;OpCode!C146&amp;" | "&amp;OpCode!D146&amp;" | "&amp;OpCode!E146&amp;" | "&amp;OpCode!F146&amp;" | "&amp;SUBSTITUTE(OpCode!G146,"|","/")&amp;" | "&amp;SUBSTITUTE(OpCode!H146,"|","/")&amp;" | ```"&amp;OpCode!I146&amp;"``` | "&amp;OpCode!J146&amp;" |"&amp;OpCode!K146&amp;" |"</f>
        <v>| 90 | SUB | B | arith | reg | 1 | 1 | 4 | ```SZKA.PVC``` | SUB B |A &lt;- A - B |</v>
      </c>
    </row>
    <row r="207" spans="1:1" x14ac:dyDescent="0.2">
      <c r="A207" s="5" t="str">
        <f>"| "&amp;OpCode!A147&amp;" | "&amp;OpCode!B147&amp;" | "&amp;OpCode!C147&amp;" | "&amp;OpCode!D147&amp;" | "&amp;OpCode!E147&amp;" | "&amp;OpCode!F147&amp;" | "&amp;SUBSTITUTE(OpCode!G147,"|","/")&amp;" | "&amp;SUBSTITUTE(OpCode!H147,"|","/")&amp;" | ```"&amp;OpCode!I147&amp;"``` | "&amp;OpCode!J147&amp;" |"&amp;OpCode!K147&amp;" |"</f>
        <v>| 91 | SUB | C | arith | reg | 1 | 1 | 4 | ```SZKA.PVC``` | SUB C |A &lt;- A - C |</v>
      </c>
    </row>
    <row r="208" spans="1:1" x14ac:dyDescent="0.2">
      <c r="A208" s="5" t="str">
        <f>"| "&amp;OpCode!A148&amp;" | "&amp;OpCode!B148&amp;" | "&amp;OpCode!C148&amp;" | "&amp;OpCode!D148&amp;" | "&amp;OpCode!E148&amp;" | "&amp;OpCode!F148&amp;" | "&amp;SUBSTITUTE(OpCode!G148,"|","/")&amp;" | "&amp;SUBSTITUTE(OpCode!H148,"|","/")&amp;" | ```"&amp;OpCode!I148&amp;"``` | "&amp;OpCode!J148&amp;" |"&amp;OpCode!K148&amp;" |"</f>
        <v>| 92 | SUB | D | arith | reg | 1 | 1 | 4 | ```SZKA.PVC``` | SUB D |A &lt;- A - D |</v>
      </c>
    </row>
    <row r="209" spans="1:1" x14ac:dyDescent="0.2">
      <c r="A209" s="5" t="str">
        <f>"| "&amp;OpCode!A149&amp;" | "&amp;OpCode!B149&amp;" | "&amp;OpCode!C149&amp;" | "&amp;OpCode!D149&amp;" | "&amp;OpCode!E149&amp;" | "&amp;OpCode!F149&amp;" | "&amp;SUBSTITUTE(OpCode!G149,"|","/")&amp;" | "&amp;SUBSTITUTE(OpCode!H149,"|","/")&amp;" | ```"&amp;OpCode!I149&amp;"``` | "&amp;OpCode!J149&amp;" |"&amp;OpCode!K149&amp;" |"</f>
        <v>| 93 | SUB | E | arith | reg | 1 | 1 | 4 | ```SZKA.PVC``` | SUB E |A &lt;- A - E |</v>
      </c>
    </row>
    <row r="210" spans="1:1" x14ac:dyDescent="0.2">
      <c r="A210" s="5" t="str">
        <f>"| "&amp;OpCode!A150&amp;" | "&amp;OpCode!B150&amp;" | "&amp;OpCode!C150&amp;" | "&amp;OpCode!D150&amp;" | "&amp;OpCode!E150&amp;" | "&amp;OpCode!F150&amp;" | "&amp;SUBSTITUTE(OpCode!G150,"|","/")&amp;" | "&amp;SUBSTITUTE(OpCode!H150,"|","/")&amp;" | ```"&amp;OpCode!I150&amp;"``` | "&amp;OpCode!J150&amp;" |"&amp;OpCode!K150&amp;" |"</f>
        <v>| 94 | SUB | H | arith | reg | 1 | 1 | 4 | ```SZKA.PVC``` | SUB H |A &lt;- A - H |</v>
      </c>
    </row>
    <row r="211" spans="1:1" x14ac:dyDescent="0.2">
      <c r="A211" s="5" t="str">
        <f>"| "&amp;OpCode!A151&amp;" | "&amp;OpCode!B151&amp;" | "&amp;OpCode!C151&amp;" | "&amp;OpCode!D151&amp;" | "&amp;OpCode!E151&amp;" | "&amp;OpCode!F151&amp;" | "&amp;SUBSTITUTE(OpCode!G151,"|","/")&amp;" | "&amp;SUBSTITUTE(OpCode!H151,"|","/")&amp;" | ```"&amp;OpCode!I151&amp;"``` | "&amp;OpCode!J151&amp;" |"&amp;OpCode!K151&amp;" |"</f>
        <v>| 95 | SUB | L | arith | reg | 1 | 1 | 4 | ```SZKA.PVC``` | SUB L |A &lt;- A - L |</v>
      </c>
    </row>
    <row r="212" spans="1:1" x14ac:dyDescent="0.2">
      <c r="A212" s="5" t="str">
        <f>"| "&amp;OpCode!A152&amp;" | "&amp;OpCode!B152&amp;" | "&amp;OpCode!C152&amp;" | "&amp;OpCode!D152&amp;" | "&amp;OpCode!E152&amp;" | "&amp;OpCode!F152&amp;" | "&amp;SUBSTITUTE(OpCode!G152,"|","/")&amp;" | "&amp;SUBSTITUTE(OpCode!H152,"|","/")&amp;" | ```"&amp;OpCode!I152&amp;"``` | "&amp;OpCode!J152&amp;" |"&amp;OpCode!K152&amp;" |"</f>
        <v>| 96 | SUB | M | arith | ind_reg | 1 | 2 | 7 | ```SZKA.PVC``` | SUB M |A &lt;- A - (HL) |</v>
      </c>
    </row>
    <row r="213" spans="1:1" x14ac:dyDescent="0.2">
      <c r="A213" s="5" t="str">
        <f>"| "&amp;OpCode!A153&amp;" | "&amp;OpCode!B153&amp;" | "&amp;OpCode!C153&amp;" | "&amp;OpCode!D153&amp;" | "&amp;OpCode!E153&amp;" | "&amp;OpCode!F153&amp;" | "&amp;SUBSTITUTE(OpCode!G153,"|","/")&amp;" | "&amp;SUBSTITUTE(OpCode!H153,"|","/")&amp;" | ```"&amp;OpCode!I153&amp;"``` | "&amp;OpCode!J153&amp;" |"&amp;OpCode!K153&amp;" |"</f>
        <v>| 97 | SUB | A | arith | reg | 1 | 1 | 4 | ```SZKA.PVC``` | SUB A |A &lt;- A - A |</v>
      </c>
    </row>
    <row r="214" spans="1:1" x14ac:dyDescent="0.2">
      <c r="A214" s="5" t="str">
        <f>"| "&amp;OpCode!A154&amp;" | "&amp;OpCode!B154&amp;" | "&amp;OpCode!C154&amp;" | "&amp;OpCode!D154&amp;" | "&amp;OpCode!E154&amp;" | "&amp;OpCode!F154&amp;" | "&amp;SUBSTITUTE(OpCode!G154,"|","/")&amp;" | "&amp;SUBSTITUTE(OpCode!H154,"|","/")&amp;" | ```"&amp;OpCode!I154&amp;"``` | "&amp;OpCode!J154&amp;" |"&amp;OpCode!K154&amp;" |"</f>
        <v>| 98 | SBB | B | arith | reg | 1 | 1 | 4 | ```SZKA.PVC``` | SBB B |A &lt;- A - B - CY |</v>
      </c>
    </row>
    <row r="215" spans="1:1" x14ac:dyDescent="0.2">
      <c r="A215" s="5" t="str">
        <f>"| "&amp;OpCode!A155&amp;" | "&amp;OpCode!B155&amp;" | "&amp;OpCode!C155&amp;" | "&amp;OpCode!D155&amp;" | "&amp;OpCode!E155&amp;" | "&amp;OpCode!F155&amp;" | "&amp;SUBSTITUTE(OpCode!G155,"|","/")&amp;" | "&amp;SUBSTITUTE(OpCode!H155,"|","/")&amp;" | ```"&amp;OpCode!I155&amp;"``` | "&amp;OpCode!J155&amp;" |"&amp;OpCode!K155&amp;" |"</f>
        <v>| 99 | SBB | C | arith | reg | 1 | 1 | 4 | ```SZKA.PVC``` | SBB C |A &lt;- A - C - CY |</v>
      </c>
    </row>
    <row r="216" spans="1:1" x14ac:dyDescent="0.2">
      <c r="A216" s="5" t="str">
        <f>"| "&amp;OpCode!A156&amp;" | "&amp;OpCode!B156&amp;" | "&amp;OpCode!C156&amp;" | "&amp;OpCode!D156&amp;" | "&amp;OpCode!E156&amp;" | "&amp;OpCode!F156&amp;" | "&amp;SUBSTITUTE(OpCode!G156,"|","/")&amp;" | "&amp;SUBSTITUTE(OpCode!H156,"|","/")&amp;" | ```"&amp;OpCode!I156&amp;"``` | "&amp;OpCode!J156&amp;" |"&amp;OpCode!K156&amp;" |"</f>
        <v>| 9A | SBB | D | arith | reg | 1 | 1 | 4 | ```SZKA.PVC``` | SBB D |A &lt;- A - D - CY |</v>
      </c>
    </row>
    <row r="217" spans="1:1" x14ac:dyDescent="0.2">
      <c r="A217" s="5" t="str">
        <f>"| "&amp;OpCode!A157&amp;" | "&amp;OpCode!B157&amp;" | "&amp;OpCode!C157&amp;" | "&amp;OpCode!D157&amp;" | "&amp;OpCode!E157&amp;" | "&amp;OpCode!F157&amp;" | "&amp;SUBSTITUTE(OpCode!G157,"|","/")&amp;" | "&amp;SUBSTITUTE(OpCode!H157,"|","/")&amp;" | ```"&amp;OpCode!I157&amp;"``` | "&amp;OpCode!J157&amp;" |"&amp;OpCode!K157&amp;" |"</f>
        <v>| 9B | SBB | E | arith | reg | 1 | 1 | 4 | ```SZKA.PVC``` | SBB E |A &lt;- A - E - CY |</v>
      </c>
    </row>
    <row r="218" spans="1:1" x14ac:dyDescent="0.2">
      <c r="A218" s="5" t="str">
        <f>"| "&amp;OpCode!A158&amp;" | "&amp;OpCode!B158&amp;" | "&amp;OpCode!C158&amp;" | "&amp;OpCode!D158&amp;" | "&amp;OpCode!E158&amp;" | "&amp;OpCode!F158&amp;" | "&amp;SUBSTITUTE(OpCode!G158,"|","/")&amp;" | "&amp;SUBSTITUTE(OpCode!H158,"|","/")&amp;" | ```"&amp;OpCode!I158&amp;"``` | "&amp;OpCode!J158&amp;" |"&amp;OpCode!K158&amp;" |"</f>
        <v>| 9C | SBB | H | arith | reg | 1 | 1 | 4 | ```SZKA.PVC``` | SBB H |A &lt;- A - H - CY |</v>
      </c>
    </row>
    <row r="219" spans="1:1" x14ac:dyDescent="0.2">
      <c r="A219" s="5" t="str">
        <f>"| "&amp;OpCode!A159&amp;" | "&amp;OpCode!B159&amp;" | "&amp;OpCode!C159&amp;" | "&amp;OpCode!D159&amp;" | "&amp;OpCode!E159&amp;" | "&amp;OpCode!F159&amp;" | "&amp;SUBSTITUTE(OpCode!G159,"|","/")&amp;" | "&amp;SUBSTITUTE(OpCode!H159,"|","/")&amp;" | ```"&amp;OpCode!I159&amp;"``` | "&amp;OpCode!J159&amp;" |"&amp;OpCode!K159&amp;" |"</f>
        <v>| 9D | SBB | L | arith | reg | 1 | 1 | 4 | ```SZKA.PVC``` | SBB L |A &lt;- A - L - CY |</v>
      </c>
    </row>
    <row r="220" spans="1:1" x14ac:dyDescent="0.2">
      <c r="A220" s="5" t="str">
        <f>"| "&amp;OpCode!A160&amp;" | "&amp;OpCode!B160&amp;" | "&amp;OpCode!C160&amp;" | "&amp;OpCode!D160&amp;" | "&amp;OpCode!E160&amp;" | "&amp;OpCode!F160&amp;" | "&amp;SUBSTITUTE(OpCode!G160,"|","/")&amp;" | "&amp;SUBSTITUTE(OpCode!H160,"|","/")&amp;" | ```"&amp;OpCode!I160&amp;"``` | "&amp;OpCode!J160&amp;" |"&amp;OpCode!K160&amp;" |"</f>
        <v>| 9E | SBB | M | arith | ind_reg | 1 | 2 | 7 | ```SZKA.PVC``` | SBB M |A &lt;- A - (HL) - CY |</v>
      </c>
    </row>
    <row r="221" spans="1:1" x14ac:dyDescent="0.2">
      <c r="A221" s="5" t="str">
        <f>"| "&amp;OpCode!A161&amp;" | "&amp;OpCode!B161&amp;" | "&amp;OpCode!C161&amp;" | "&amp;OpCode!D161&amp;" | "&amp;OpCode!E161&amp;" | "&amp;OpCode!F161&amp;" | "&amp;SUBSTITUTE(OpCode!G161,"|","/")&amp;" | "&amp;SUBSTITUTE(OpCode!H161,"|","/")&amp;" | ```"&amp;OpCode!I161&amp;"``` | "&amp;OpCode!J161&amp;" |"&amp;OpCode!K161&amp;" |"</f>
        <v>| 9F | SBB | A | arith | reg | 1 | 1 | 4 | ```SZKA.PVC``` | SBB A |A &lt;- A - A - CY |</v>
      </c>
    </row>
    <row r="222" spans="1:1" x14ac:dyDescent="0.2">
      <c r="A222" s="5" t="str">
        <f>"| "&amp;OpCode!A162&amp;" | "&amp;OpCode!B162&amp;" | "&amp;OpCode!C162&amp;" | "&amp;OpCode!D162&amp;" | "&amp;OpCode!E162&amp;" | "&amp;OpCode!F162&amp;" | "&amp;SUBSTITUTE(OpCode!G162,"|","/")&amp;" | "&amp;SUBSTITUTE(OpCode!H162,"|","/")&amp;" | ```"&amp;OpCode!I162&amp;"``` | "&amp;OpCode!J162&amp;" |"&amp;OpCode!K162&amp;" |"</f>
        <v>| A0 | ANA | B | logic | reg | 1 | 1 | 4 | ```SZK1.P00``` | ANA B |A &lt;- A &amp; B |</v>
      </c>
    </row>
    <row r="223" spans="1:1" x14ac:dyDescent="0.2">
      <c r="A223" s="5" t="str">
        <f>"| "&amp;OpCode!A163&amp;" | "&amp;OpCode!B163&amp;" | "&amp;OpCode!C163&amp;" | "&amp;OpCode!D163&amp;" | "&amp;OpCode!E163&amp;" | "&amp;OpCode!F163&amp;" | "&amp;SUBSTITUTE(OpCode!G163,"|","/")&amp;" | "&amp;SUBSTITUTE(OpCode!H163,"|","/")&amp;" | ```"&amp;OpCode!I163&amp;"``` | "&amp;OpCode!J163&amp;" |"&amp;OpCode!K163&amp;" |"</f>
        <v>| A1 | ANA | C | logic | reg | 1 | 1 | 4 | ```SZK1.P00``` | ANA C |A &lt;- A &amp; C |</v>
      </c>
    </row>
    <row r="224" spans="1:1" x14ac:dyDescent="0.2">
      <c r="A224" s="5" t="str">
        <f>"| "&amp;OpCode!A164&amp;" | "&amp;OpCode!B164&amp;" | "&amp;OpCode!C164&amp;" | "&amp;OpCode!D164&amp;" | "&amp;OpCode!E164&amp;" | "&amp;OpCode!F164&amp;" | "&amp;SUBSTITUTE(OpCode!G164,"|","/")&amp;" | "&amp;SUBSTITUTE(OpCode!H164,"|","/")&amp;" | ```"&amp;OpCode!I164&amp;"``` | "&amp;OpCode!J164&amp;" |"&amp;OpCode!K164&amp;" |"</f>
        <v>| A2 | ANA | D | logic | reg | 1 | 1 | 4 | ```SZK1.P00``` | ANA D |A &lt;- A &amp; D |</v>
      </c>
    </row>
    <row r="225" spans="1:1" x14ac:dyDescent="0.2">
      <c r="A225" s="5" t="str">
        <f>"| "&amp;OpCode!A165&amp;" | "&amp;OpCode!B165&amp;" | "&amp;OpCode!C165&amp;" | "&amp;OpCode!D165&amp;" | "&amp;OpCode!E165&amp;" | "&amp;OpCode!F165&amp;" | "&amp;SUBSTITUTE(OpCode!G165,"|","/")&amp;" | "&amp;SUBSTITUTE(OpCode!H165,"|","/")&amp;" | ```"&amp;OpCode!I165&amp;"``` | "&amp;OpCode!J165&amp;" |"&amp;OpCode!K165&amp;" |"</f>
        <v>| A3 | ANA | E | logic | reg | 1 | 1 | 4 | ```SZK1.P00``` | ANA E |A &lt;- A &amp; E |</v>
      </c>
    </row>
    <row r="226" spans="1:1" x14ac:dyDescent="0.2">
      <c r="A226" s="5" t="str">
        <f>"| "&amp;OpCode!A166&amp;" | "&amp;OpCode!B166&amp;" | "&amp;OpCode!C166&amp;" | "&amp;OpCode!D166&amp;" | "&amp;OpCode!E166&amp;" | "&amp;OpCode!F166&amp;" | "&amp;SUBSTITUTE(OpCode!G166,"|","/")&amp;" | "&amp;SUBSTITUTE(OpCode!H166,"|","/")&amp;" | ```"&amp;OpCode!I166&amp;"``` | "&amp;OpCode!J166&amp;" |"&amp;OpCode!K166&amp;" |"</f>
        <v>| A4 | ANA | H | logic | reg | 1 | 1 | 4 | ```SZK1.P00``` | ANA H |A &lt;- A &amp; H |</v>
      </c>
    </row>
    <row r="227" spans="1:1" x14ac:dyDescent="0.2">
      <c r="A227" s="5" t="str">
        <f>"| "&amp;OpCode!A167&amp;" | "&amp;OpCode!B167&amp;" | "&amp;OpCode!C167&amp;" | "&amp;OpCode!D167&amp;" | "&amp;OpCode!E167&amp;" | "&amp;OpCode!F167&amp;" | "&amp;SUBSTITUTE(OpCode!G167,"|","/")&amp;" | "&amp;SUBSTITUTE(OpCode!H167,"|","/")&amp;" | ```"&amp;OpCode!I167&amp;"``` | "&amp;OpCode!J167&amp;" |"&amp;OpCode!K167&amp;" |"</f>
        <v>| A5 | ANA | L | logic | reg | 1 | 1 | 4 | ```SZK1.P00``` | ANA L |A &lt;- A &amp; L |</v>
      </c>
    </row>
    <row r="228" spans="1:1" x14ac:dyDescent="0.2">
      <c r="A228" s="5" t="str">
        <f>"| "&amp;OpCode!A168&amp;" | "&amp;OpCode!B168&amp;" | "&amp;OpCode!C168&amp;" | "&amp;OpCode!D168&amp;" | "&amp;OpCode!E168&amp;" | "&amp;OpCode!F168&amp;" | "&amp;SUBSTITUTE(OpCode!G168,"|","/")&amp;" | "&amp;SUBSTITUTE(OpCode!H168,"|","/")&amp;" | ```"&amp;OpCode!I168&amp;"``` | "&amp;OpCode!J168&amp;" |"&amp;OpCode!K168&amp;" |"</f>
        <v>| A6 | ANA | M | logic | ind_reg | 1 | 2 | 7 | ```SZK1.P00``` | ANA M |A &lt;- A &amp; (HL) |</v>
      </c>
    </row>
    <row r="229" spans="1:1" x14ac:dyDescent="0.2">
      <c r="A229" s="5" t="str">
        <f>"| "&amp;OpCode!A169&amp;" | "&amp;OpCode!B169&amp;" | "&amp;OpCode!C169&amp;" | "&amp;OpCode!D169&amp;" | "&amp;OpCode!E169&amp;" | "&amp;OpCode!F169&amp;" | "&amp;SUBSTITUTE(OpCode!G169,"|","/")&amp;" | "&amp;SUBSTITUTE(OpCode!H169,"|","/")&amp;" | ```"&amp;OpCode!I169&amp;"``` | "&amp;OpCode!J169&amp;" |"&amp;OpCode!K169&amp;" |"</f>
        <v>| A7 | ANA | A | logic | reg | 1 | 1 | 4 | ```SZK1.P00``` | ANA A |A &lt;- A &amp; A |</v>
      </c>
    </row>
    <row r="230" spans="1:1" x14ac:dyDescent="0.2">
      <c r="A230" s="5" t="str">
        <f>"| "&amp;OpCode!A170&amp;" | "&amp;OpCode!B170&amp;" | "&amp;OpCode!C170&amp;" | "&amp;OpCode!D170&amp;" | "&amp;OpCode!E170&amp;" | "&amp;OpCode!F170&amp;" | "&amp;SUBSTITUTE(OpCode!G170,"|","/")&amp;" | "&amp;SUBSTITUTE(OpCode!H170,"|","/")&amp;" | ```"&amp;OpCode!I170&amp;"``` | "&amp;OpCode!J170&amp;" |"&amp;OpCode!K170&amp;" |"</f>
        <v>| A8 | XRA | B | logic | reg | 1 | 1 | 4 | ```SZK0.P.0``` | XRA B |A &lt;- A ^ B |</v>
      </c>
    </row>
    <row r="231" spans="1:1" x14ac:dyDescent="0.2">
      <c r="A231" s="5" t="str">
        <f>"| "&amp;OpCode!A171&amp;" | "&amp;OpCode!B171&amp;" | "&amp;OpCode!C171&amp;" | "&amp;OpCode!D171&amp;" | "&amp;OpCode!E171&amp;" | "&amp;OpCode!F171&amp;" | "&amp;SUBSTITUTE(OpCode!G171,"|","/")&amp;" | "&amp;SUBSTITUTE(OpCode!H171,"|","/")&amp;" | ```"&amp;OpCode!I171&amp;"``` | "&amp;OpCode!J171&amp;" |"&amp;OpCode!K171&amp;" |"</f>
        <v>| A9 | XRA | C | logic | reg | 1 | 1 | 4 | ```SZK0.P.0``` | XRA C |A &lt;- A ^ C |</v>
      </c>
    </row>
    <row r="232" spans="1:1" x14ac:dyDescent="0.2">
      <c r="A232" s="5" t="str">
        <f>"| "&amp;OpCode!A172&amp;" | "&amp;OpCode!B172&amp;" | "&amp;OpCode!C172&amp;" | "&amp;OpCode!D172&amp;" | "&amp;OpCode!E172&amp;" | "&amp;OpCode!F172&amp;" | "&amp;SUBSTITUTE(OpCode!G172,"|","/")&amp;" | "&amp;SUBSTITUTE(OpCode!H172,"|","/")&amp;" | ```"&amp;OpCode!I172&amp;"``` | "&amp;OpCode!J172&amp;" |"&amp;OpCode!K172&amp;" |"</f>
        <v>| AA | XRA | D | logic | reg | 1 | 1 | 4 | ```SZK0.P.0``` | XRA D |A &lt;- A ^ D |</v>
      </c>
    </row>
    <row r="233" spans="1:1" x14ac:dyDescent="0.2">
      <c r="A233" s="5" t="str">
        <f>"| "&amp;OpCode!A173&amp;" | "&amp;OpCode!B173&amp;" | "&amp;OpCode!C173&amp;" | "&amp;OpCode!D173&amp;" | "&amp;OpCode!E173&amp;" | "&amp;OpCode!F173&amp;" | "&amp;SUBSTITUTE(OpCode!G173,"|","/")&amp;" | "&amp;SUBSTITUTE(OpCode!H173,"|","/")&amp;" | ```"&amp;OpCode!I173&amp;"``` | "&amp;OpCode!J173&amp;" |"&amp;OpCode!K173&amp;" |"</f>
        <v>| AB | XRA | E | logic | reg | 1 | 1 | 4 | ```SZK0.P.0``` | XRA E |A &lt;- A ^ E |</v>
      </c>
    </row>
    <row r="234" spans="1:1" x14ac:dyDescent="0.2">
      <c r="A234" s="5" t="str">
        <f>"| "&amp;OpCode!A174&amp;" | "&amp;OpCode!B174&amp;" | "&amp;OpCode!C174&amp;" | "&amp;OpCode!D174&amp;" | "&amp;OpCode!E174&amp;" | "&amp;OpCode!F174&amp;" | "&amp;SUBSTITUTE(OpCode!G174,"|","/")&amp;" | "&amp;SUBSTITUTE(OpCode!H174,"|","/")&amp;" | ```"&amp;OpCode!I174&amp;"``` | "&amp;OpCode!J174&amp;" |"&amp;OpCode!K174&amp;" |"</f>
        <v>| AC | XRA | H | logic | reg | 1 | 1 | 4 | ```SZK0.P.0``` | XRA H |A &lt;- A ^ H |</v>
      </c>
    </row>
    <row r="235" spans="1:1" x14ac:dyDescent="0.2">
      <c r="A235" s="5" t="str">
        <f>"| "&amp;OpCode!A175&amp;" | "&amp;OpCode!B175&amp;" | "&amp;OpCode!C175&amp;" | "&amp;OpCode!D175&amp;" | "&amp;OpCode!E175&amp;" | "&amp;OpCode!F175&amp;" | "&amp;SUBSTITUTE(OpCode!G175,"|","/")&amp;" | "&amp;SUBSTITUTE(OpCode!H175,"|","/")&amp;" | ```"&amp;OpCode!I175&amp;"``` | "&amp;OpCode!J175&amp;" |"&amp;OpCode!K175&amp;" |"</f>
        <v>| AD | XRA | L | logic | reg | 1 | 1 | 4 | ```SZK0.P.0``` | XRA L |A &lt;- A ^ L |</v>
      </c>
    </row>
    <row r="236" spans="1:1" x14ac:dyDescent="0.2">
      <c r="A236" s="5" t="str">
        <f>"| "&amp;OpCode!A176&amp;" | "&amp;OpCode!B176&amp;" | "&amp;OpCode!C176&amp;" | "&amp;OpCode!D176&amp;" | "&amp;OpCode!E176&amp;" | "&amp;OpCode!F176&amp;" | "&amp;SUBSTITUTE(OpCode!G176,"|","/")&amp;" | "&amp;SUBSTITUTE(OpCode!H176,"|","/")&amp;" | ```"&amp;OpCode!I176&amp;"``` | "&amp;OpCode!J176&amp;" |"&amp;OpCode!K176&amp;" |"</f>
        <v>| AE | XRA | M | logic | ind_reg | 1 | 2 | 7 | ```SZK0.P.0``` | XRA M |A &lt;- A ^ (HL) |</v>
      </c>
    </row>
    <row r="237" spans="1:1" x14ac:dyDescent="0.2">
      <c r="A237" s="5" t="str">
        <f>"| "&amp;OpCode!A177&amp;" | "&amp;OpCode!B177&amp;" | "&amp;OpCode!C177&amp;" | "&amp;OpCode!D177&amp;" | "&amp;OpCode!E177&amp;" | "&amp;OpCode!F177&amp;" | "&amp;SUBSTITUTE(OpCode!G177,"|","/")&amp;" | "&amp;SUBSTITUTE(OpCode!H177,"|","/")&amp;" | ```"&amp;OpCode!I177&amp;"``` | "&amp;OpCode!J177&amp;" |"&amp;OpCode!K177&amp;" |"</f>
        <v>| AF | XRA | A | logic | reg | 1 | 1 | 4 | ```SZK0.P.0``` | XRA A |A &lt;- A ^ A |</v>
      </c>
    </row>
    <row r="238" spans="1:1" x14ac:dyDescent="0.2">
      <c r="A238" s="5" t="str">
        <f>"| "&amp;OpCode!A178&amp;" | "&amp;OpCode!B178&amp;" | "&amp;OpCode!C178&amp;" | "&amp;OpCode!D178&amp;" | "&amp;OpCode!E178&amp;" | "&amp;OpCode!F178&amp;" | "&amp;SUBSTITUTE(OpCode!G178,"|","/")&amp;" | "&amp;SUBSTITUTE(OpCode!H178,"|","/")&amp;" | ```"&amp;OpCode!I178&amp;"``` | "&amp;OpCode!J178&amp;" |"&amp;OpCode!K178&amp;" |"</f>
        <v>| B0 | ORA | B | logic | reg | 1 | 1 | 4 | ```SZK0.P00``` | ORA B |A &lt;- A | B |</v>
      </c>
    </row>
    <row r="239" spans="1:1" x14ac:dyDescent="0.2">
      <c r="A239" s="5" t="str">
        <f>"| "&amp;OpCode!A179&amp;" | "&amp;OpCode!B179&amp;" | "&amp;OpCode!C179&amp;" | "&amp;OpCode!D179&amp;" | "&amp;OpCode!E179&amp;" | "&amp;OpCode!F179&amp;" | "&amp;SUBSTITUTE(OpCode!G179,"|","/")&amp;" | "&amp;SUBSTITUTE(OpCode!H179,"|","/")&amp;" | ```"&amp;OpCode!I179&amp;"``` | "&amp;OpCode!J179&amp;" |"&amp;OpCode!K179&amp;" |"</f>
        <v>| B1 | ORA | C | logic | reg | 1 | 1 | 4 | ```SZK0.P00``` | ORA C |A &lt;- A | C |</v>
      </c>
    </row>
    <row r="240" spans="1:1" x14ac:dyDescent="0.2">
      <c r="A240" s="5" t="str">
        <f>"| "&amp;OpCode!A180&amp;" | "&amp;OpCode!B180&amp;" | "&amp;OpCode!C180&amp;" | "&amp;OpCode!D180&amp;" | "&amp;OpCode!E180&amp;" | "&amp;OpCode!F180&amp;" | "&amp;SUBSTITUTE(OpCode!G180,"|","/")&amp;" | "&amp;SUBSTITUTE(OpCode!H180,"|","/")&amp;" | ```"&amp;OpCode!I180&amp;"``` | "&amp;OpCode!J180&amp;" |"&amp;OpCode!K180&amp;" |"</f>
        <v>| B2 | ORA | D | logic | reg | 1 | 1 | 4 | ```SZK0.P00``` | ORA D |A &lt;- A | D |</v>
      </c>
    </row>
    <row r="241" spans="1:1" x14ac:dyDescent="0.2">
      <c r="A241" s="5" t="str">
        <f>"| "&amp;OpCode!A181&amp;" | "&amp;OpCode!B181&amp;" | "&amp;OpCode!C181&amp;" | "&amp;OpCode!D181&amp;" | "&amp;OpCode!E181&amp;" | "&amp;OpCode!F181&amp;" | "&amp;SUBSTITUTE(OpCode!G181,"|","/")&amp;" | "&amp;SUBSTITUTE(OpCode!H181,"|","/")&amp;" | ```"&amp;OpCode!I181&amp;"``` | "&amp;OpCode!J181&amp;" |"&amp;OpCode!K181&amp;" |"</f>
        <v>| B3 | ORA | E | logic | reg | 1 | 1 | 4 | ```SZK0.P00``` | ORA E |A &lt;- A | E |</v>
      </c>
    </row>
    <row r="242" spans="1:1" x14ac:dyDescent="0.2">
      <c r="A242" s="5" t="str">
        <f>"| "&amp;OpCode!A182&amp;" | "&amp;OpCode!B182&amp;" | "&amp;OpCode!C182&amp;" | "&amp;OpCode!D182&amp;" | "&amp;OpCode!E182&amp;" | "&amp;OpCode!F182&amp;" | "&amp;SUBSTITUTE(OpCode!G182,"|","/")&amp;" | "&amp;SUBSTITUTE(OpCode!H182,"|","/")&amp;" | ```"&amp;OpCode!I182&amp;"``` | "&amp;OpCode!J182&amp;" |"&amp;OpCode!K182&amp;" |"</f>
        <v>| B4 | ORA | H | logic | reg | 1 | 1 | 4 | ```SZK0.P00``` | ORA H |A &lt;- A | H |</v>
      </c>
    </row>
    <row r="243" spans="1:1" x14ac:dyDescent="0.2">
      <c r="A243" s="5" t="str">
        <f>"| "&amp;OpCode!A183&amp;" | "&amp;OpCode!B183&amp;" | "&amp;OpCode!C183&amp;" | "&amp;OpCode!D183&amp;" | "&amp;OpCode!E183&amp;" | "&amp;OpCode!F183&amp;" | "&amp;SUBSTITUTE(OpCode!G183,"|","/")&amp;" | "&amp;SUBSTITUTE(OpCode!H183,"|","/")&amp;" | ```"&amp;OpCode!I183&amp;"``` | "&amp;OpCode!J183&amp;" |"&amp;OpCode!K183&amp;" |"</f>
        <v>| B5 | ORA | L | logic | reg | 1 | 1 | 4 | ```SZK0.P00``` | ORA L |A &lt;- A | L |</v>
      </c>
    </row>
    <row r="244" spans="1:1" x14ac:dyDescent="0.2">
      <c r="A244" s="5" t="str">
        <f>"| "&amp;OpCode!A184&amp;" | "&amp;OpCode!B184&amp;" | "&amp;OpCode!C184&amp;" | "&amp;OpCode!D184&amp;" | "&amp;OpCode!E184&amp;" | "&amp;OpCode!F184&amp;" | "&amp;SUBSTITUTE(OpCode!G184,"|","/")&amp;" | "&amp;SUBSTITUTE(OpCode!H184,"|","/")&amp;" | ```"&amp;OpCode!I184&amp;"``` | "&amp;OpCode!J184&amp;" |"&amp;OpCode!K184&amp;" |"</f>
        <v>| B6 | ORA | M | logic | ind_reg | 1 | 2 | 7 | ```SZK0.P00``` | ORA M |A &lt;- A | (HL) |</v>
      </c>
    </row>
    <row r="245" spans="1:1" x14ac:dyDescent="0.2">
      <c r="A245" s="5" t="str">
        <f>"| "&amp;OpCode!A185&amp;" | "&amp;OpCode!B185&amp;" | "&amp;OpCode!C185&amp;" | "&amp;OpCode!D185&amp;" | "&amp;OpCode!E185&amp;" | "&amp;OpCode!F185&amp;" | "&amp;SUBSTITUTE(OpCode!G185,"|","/")&amp;" | "&amp;SUBSTITUTE(OpCode!H185,"|","/")&amp;" | ```"&amp;OpCode!I185&amp;"``` | "&amp;OpCode!J185&amp;" |"&amp;OpCode!K185&amp;" |"</f>
        <v>| B7 | ORA | A | logic | reg | 1 | 1 | 4 | ```SZK0.P00``` | ORA A |A &lt;- A | A |</v>
      </c>
    </row>
    <row r="246" spans="1:1" x14ac:dyDescent="0.2">
      <c r="A246" s="5" t="str">
        <f>"| "&amp;OpCode!A186&amp;" | "&amp;OpCode!B186&amp;" | "&amp;OpCode!C186&amp;" | "&amp;OpCode!D186&amp;" | "&amp;OpCode!E186&amp;" | "&amp;OpCode!F186&amp;" | "&amp;SUBSTITUTE(OpCode!G186,"|","/")&amp;" | "&amp;SUBSTITUTE(OpCode!H186,"|","/")&amp;" | ```"&amp;OpCode!I186&amp;"``` | "&amp;OpCode!J186&amp;" |"&amp;OpCode!K186&amp;" |"</f>
        <v>| B8 | CMP | B | logic | reg | 1 | 1 | 4 | ```SZKA.PVC``` | CMP B |A - B |</v>
      </c>
    </row>
    <row r="247" spans="1:1" x14ac:dyDescent="0.2">
      <c r="A247" s="5" t="str">
        <f>"| "&amp;OpCode!A187&amp;" | "&amp;OpCode!B187&amp;" | "&amp;OpCode!C187&amp;" | "&amp;OpCode!D187&amp;" | "&amp;OpCode!E187&amp;" | "&amp;OpCode!F187&amp;" | "&amp;SUBSTITUTE(OpCode!G187,"|","/")&amp;" | "&amp;SUBSTITUTE(OpCode!H187,"|","/")&amp;" | ```"&amp;OpCode!I187&amp;"``` | "&amp;OpCode!J187&amp;" |"&amp;OpCode!K187&amp;" |"</f>
        <v>| B9 | CMP | C | logic | reg | 1 | 1 | 4 | ```SZKA.PVC``` | CMP C |A - C |</v>
      </c>
    </row>
    <row r="248" spans="1:1" x14ac:dyDescent="0.2">
      <c r="A248" s="5" t="str">
        <f>"| "&amp;OpCode!A188&amp;" | "&amp;OpCode!B188&amp;" | "&amp;OpCode!C188&amp;" | "&amp;OpCode!D188&amp;" | "&amp;OpCode!E188&amp;" | "&amp;OpCode!F188&amp;" | "&amp;SUBSTITUTE(OpCode!G188,"|","/")&amp;" | "&amp;SUBSTITUTE(OpCode!H188,"|","/")&amp;" | ```"&amp;OpCode!I188&amp;"``` | "&amp;OpCode!J188&amp;" |"&amp;OpCode!K188&amp;" |"</f>
        <v>| BA | CMP | D | logic | reg | 1 | 1 | 4 | ```SZKA.PVC``` | CMP D |A - D |</v>
      </c>
    </row>
    <row r="249" spans="1:1" x14ac:dyDescent="0.2">
      <c r="A249" s="5" t="str">
        <f>"| "&amp;OpCode!A189&amp;" | "&amp;OpCode!B189&amp;" | "&amp;OpCode!C189&amp;" | "&amp;OpCode!D189&amp;" | "&amp;OpCode!E189&amp;" | "&amp;OpCode!F189&amp;" | "&amp;SUBSTITUTE(OpCode!G189,"|","/")&amp;" | "&amp;SUBSTITUTE(OpCode!H189,"|","/")&amp;" | ```"&amp;OpCode!I189&amp;"``` | "&amp;OpCode!J189&amp;" |"&amp;OpCode!K189&amp;" |"</f>
        <v>| BB | CMP | E | logic | reg | 1 | 1 | 4 | ```SZKA.PVC``` | CMP E |A - E |</v>
      </c>
    </row>
    <row r="250" spans="1:1" x14ac:dyDescent="0.2">
      <c r="A250" s="5" t="str">
        <f>"| "&amp;OpCode!A190&amp;" | "&amp;OpCode!B190&amp;" | "&amp;OpCode!C190&amp;" | "&amp;OpCode!D190&amp;" | "&amp;OpCode!E190&amp;" | "&amp;OpCode!F190&amp;" | "&amp;SUBSTITUTE(OpCode!G190,"|","/")&amp;" | "&amp;SUBSTITUTE(OpCode!H190,"|","/")&amp;" | ```"&amp;OpCode!I190&amp;"``` | "&amp;OpCode!J190&amp;" |"&amp;OpCode!K190&amp;" |"</f>
        <v>| BC | CMP | H | logic | reg | 1 | 1 | 4 | ```SZKA.PVC``` | CMP H |A - H |</v>
      </c>
    </row>
    <row r="251" spans="1:1" x14ac:dyDescent="0.2">
      <c r="A251" s="5" t="str">
        <f>"| "&amp;OpCode!A191&amp;" | "&amp;OpCode!B191&amp;" | "&amp;OpCode!C191&amp;" | "&amp;OpCode!D191&amp;" | "&amp;OpCode!E191&amp;" | "&amp;OpCode!F191&amp;" | "&amp;SUBSTITUTE(OpCode!G191,"|","/")&amp;" | "&amp;SUBSTITUTE(OpCode!H191,"|","/")&amp;" | ```"&amp;OpCode!I191&amp;"``` | "&amp;OpCode!J191&amp;" |"&amp;OpCode!K191&amp;" |"</f>
        <v>| BD | CMP | L | logic | reg | 1 | 1 | 4 | ```SZKA.PVC``` | CMP L |A - L |</v>
      </c>
    </row>
    <row r="252" spans="1:1" x14ac:dyDescent="0.2">
      <c r="A252" s="5" t="str">
        <f>"| "&amp;OpCode!A192&amp;" | "&amp;OpCode!B192&amp;" | "&amp;OpCode!C192&amp;" | "&amp;OpCode!D192&amp;" | "&amp;OpCode!E192&amp;" | "&amp;OpCode!F192&amp;" | "&amp;SUBSTITUTE(OpCode!G192,"|","/")&amp;" | "&amp;SUBSTITUTE(OpCode!H192,"|","/")&amp;" | ```"&amp;OpCode!I192&amp;"``` | "&amp;OpCode!J192&amp;" |"&amp;OpCode!K192&amp;" |"</f>
        <v>| BE | CMP | M | logic | ind_reg | 1 | 2 | 7 | ```SZKA.PVC``` | CMP M |A - (HL) |</v>
      </c>
    </row>
    <row r="253" spans="1:1" x14ac:dyDescent="0.2">
      <c r="A253" s="5" t="str">
        <f>"| "&amp;OpCode!A193&amp;" | "&amp;OpCode!B193&amp;" | "&amp;OpCode!C193&amp;" | "&amp;OpCode!D193&amp;" | "&amp;OpCode!E193&amp;" | "&amp;OpCode!F193&amp;" | "&amp;SUBSTITUTE(OpCode!G193,"|","/")&amp;" | "&amp;SUBSTITUTE(OpCode!H193,"|","/")&amp;" | ```"&amp;OpCode!I193&amp;"``` | "&amp;OpCode!J193&amp;" |"&amp;OpCode!K193&amp;" |"</f>
        <v>| BF | CMP | A | logic | reg | 1 | 1 | 4 | ```SZKA.PVC``` | CMP A |A - A |</v>
      </c>
    </row>
    <row r="254" spans="1:1" x14ac:dyDescent="0.2">
      <c r="A254" s="5" t="str">
        <f>"| "&amp;OpCode!A194&amp;" | "&amp;OpCode!B194&amp;" | "&amp;OpCode!C194&amp;" | "&amp;OpCode!D194&amp;" | "&amp;OpCode!E194&amp;" | "&amp;OpCode!F194&amp;" | "&amp;SUBSTITUTE(OpCode!G194,"|","/")&amp;" | "&amp;SUBSTITUTE(OpCode!H194,"|","/")&amp;" | ```"&amp;OpCode!I194&amp;"``` | "&amp;OpCode!J194&amp;" |"&amp;OpCode!K194&amp;" |"</f>
        <v>| C0 | RNZ |  | branch | abs | 1 | 1/3 | 6/12 | ```........``` | RNZ |if NZ, RET |</v>
      </c>
    </row>
    <row r="255" spans="1:1" x14ac:dyDescent="0.2">
      <c r="A255" s="5" t="str">
        <f>"| "&amp;OpCode!A195&amp;" | "&amp;OpCode!B195&amp;" | "&amp;OpCode!C195&amp;" | "&amp;OpCode!D195&amp;" | "&amp;OpCode!E195&amp;" | "&amp;OpCode!F195&amp;" | "&amp;SUBSTITUTE(OpCode!G195,"|","/")&amp;" | "&amp;SUBSTITUTE(OpCode!H195,"|","/")&amp;" | ```"&amp;OpCode!I195&amp;"``` | "&amp;OpCode!J195&amp;" |"&amp;OpCode!K195&amp;" |"</f>
        <v>| C1 | POP | B | stack | reg | 1 | 3 | 10 | ```........``` | POP B |C &lt;- (SP); B &lt;- (SP + 1); SP &lt;- SP + 2 |</v>
      </c>
    </row>
    <row r="256" spans="1:1" x14ac:dyDescent="0.2">
      <c r="A256" s="5" t="str">
        <f>"| "&amp;OpCode!A196&amp;" | "&amp;OpCode!B196&amp;" | "&amp;OpCode!C196&amp;" | "&amp;OpCode!D196&amp;" | "&amp;OpCode!E196&amp;" | "&amp;OpCode!F196&amp;" | "&amp;SUBSTITUTE(OpCode!G196,"|","/")&amp;" | "&amp;SUBSTITUTE(OpCode!H196,"|","/")&amp;" | ```"&amp;OpCode!I196&amp;"``` | "&amp;OpCode!J196&amp;" |"&amp;OpCode!K196&amp;" |"</f>
        <v>| C2 | JNZ | a16 | branch | abs | 3 | 2/3 | 7/10 | ```........``` | JNZ a16 |if NZ, PC &lt;- adr |</v>
      </c>
    </row>
    <row r="257" spans="1:1" x14ac:dyDescent="0.2">
      <c r="A257" s="5" t="str">
        <f>"| "&amp;OpCode!A197&amp;" | "&amp;OpCode!B197&amp;" | "&amp;OpCode!C197&amp;" | "&amp;OpCode!D197&amp;" | "&amp;OpCode!E197&amp;" | "&amp;OpCode!F197&amp;" | "&amp;SUBSTITUTE(OpCode!G197,"|","/")&amp;" | "&amp;SUBSTITUTE(OpCode!H197,"|","/")&amp;" | ```"&amp;OpCode!I197&amp;"``` | "&amp;OpCode!J197&amp;" |"&amp;OpCode!K197&amp;" |"</f>
        <v>| C3 | JMP | a16 | branch | abs | 3 | 3 | 10 | ```........``` | JMP a16 |PC &lt;- adr |</v>
      </c>
    </row>
    <row r="258" spans="1:1" x14ac:dyDescent="0.2">
      <c r="A258" s="5" t="str">
        <f>"| "&amp;OpCode!A198&amp;" | "&amp;OpCode!B198&amp;" | "&amp;OpCode!C198&amp;" | "&amp;OpCode!D198&amp;" | "&amp;OpCode!E198&amp;" | "&amp;OpCode!F198&amp;" | "&amp;SUBSTITUTE(OpCode!G198,"|","/")&amp;" | "&amp;SUBSTITUTE(OpCode!H198,"|","/")&amp;" | ```"&amp;OpCode!I198&amp;"``` | "&amp;OpCode!J198&amp;" |"&amp;OpCode!K198&amp;" |"</f>
        <v>| C4 | CNZ | a16 | branch | abs | 3 | 2/5 | 9/18 | ```........``` | CNZ a16 |if NZ, CALL adr |</v>
      </c>
    </row>
    <row r="259" spans="1:1" x14ac:dyDescent="0.2">
      <c r="A259" s="5" t="str">
        <f>"| "&amp;OpCode!A199&amp;" | "&amp;OpCode!B199&amp;" | "&amp;OpCode!C199&amp;" | "&amp;OpCode!D199&amp;" | "&amp;OpCode!E199&amp;" | "&amp;OpCode!F199&amp;" | "&amp;SUBSTITUTE(OpCode!G199,"|","/")&amp;" | "&amp;SUBSTITUTE(OpCode!H199,"|","/")&amp;" | ```"&amp;OpCode!I199&amp;"``` | "&amp;OpCode!J199&amp;" |"&amp;OpCode!K199&amp;" |"</f>
        <v>| C5 | PUSH | B | stack | reg | 1 | 3 | 13 | ```........``` | PUSH B |(SP - 2) &lt;- C; (SP - 1) &lt;- B; SP &lt;- SP - 2 |</v>
      </c>
    </row>
    <row r="260" spans="1:1" x14ac:dyDescent="0.2">
      <c r="A260" s="5" t="str">
        <f>"| "&amp;OpCode!A200&amp;" | "&amp;OpCode!B200&amp;" | "&amp;OpCode!C200&amp;" | "&amp;OpCode!D200&amp;" | "&amp;OpCode!E200&amp;" | "&amp;OpCode!F200&amp;" | "&amp;SUBSTITUTE(OpCode!G200,"|","/")&amp;" | "&amp;SUBSTITUTE(OpCode!H200,"|","/")&amp;" | ```"&amp;OpCode!I200&amp;"``` | "&amp;OpCode!J200&amp;" |"&amp;OpCode!K200&amp;" |"</f>
        <v>| C6 | ADI | d8 | arith | imm | 2 | 2 | 7 | ```SZKA.PVC``` | ADI d8 |A &lt;- A + byte_2 |</v>
      </c>
    </row>
    <row r="261" spans="1:1" x14ac:dyDescent="0.2">
      <c r="A261" s="5" t="str">
        <f>"| "&amp;OpCode!A201&amp;" | "&amp;OpCode!B201&amp;" | "&amp;OpCode!C201&amp;" | "&amp;OpCode!D201&amp;" | "&amp;OpCode!E201&amp;" | "&amp;OpCode!F201&amp;" | "&amp;SUBSTITUTE(OpCode!G201,"|","/")&amp;" | "&amp;SUBSTITUTE(OpCode!H201,"|","/")&amp;" | ```"&amp;OpCode!I201&amp;"``` | "&amp;OpCode!J201&amp;" |"&amp;OpCode!K201&amp;" |"</f>
        <v>| C7 | RST | 0 | branch | imp | 1 | 3 | 12 | ```........``` | RST 0 |CALL $0 |</v>
      </c>
    </row>
    <row r="262" spans="1:1" x14ac:dyDescent="0.2">
      <c r="A262" s="5" t="str">
        <f>"| "&amp;OpCode!A202&amp;" | "&amp;OpCode!B202&amp;" | "&amp;OpCode!C202&amp;" | "&amp;OpCode!D202&amp;" | "&amp;OpCode!E202&amp;" | "&amp;OpCode!F202&amp;" | "&amp;SUBSTITUTE(OpCode!G202,"|","/")&amp;" | "&amp;SUBSTITUTE(OpCode!H202,"|","/")&amp;" | ```"&amp;OpCode!I202&amp;"``` | "&amp;OpCode!J202&amp;" |"&amp;OpCode!K202&amp;" |"</f>
        <v>| C8 | RZ |  | branch | abs | 1 | 1/3 | 6/12 | ```........``` | RZ |if Z, RET |</v>
      </c>
    </row>
    <row r="263" spans="1:1" x14ac:dyDescent="0.2">
      <c r="A263" s="5" t="str">
        <f>"| "&amp;OpCode!A203&amp;" | "&amp;OpCode!B203&amp;" | "&amp;OpCode!C203&amp;" | "&amp;OpCode!D203&amp;" | "&amp;OpCode!E203&amp;" | "&amp;OpCode!F203&amp;" | "&amp;SUBSTITUTE(OpCode!G203,"|","/")&amp;" | "&amp;SUBSTITUTE(OpCode!H203,"|","/")&amp;" | ```"&amp;OpCode!I203&amp;"``` | "&amp;OpCode!J203&amp;" |"&amp;OpCode!K203&amp;" |"</f>
        <v>| C9 | RET |  | branch | imp | 1 | 3 | 10 | ```........``` | RET |PC.lo &lt;- (SP); PC.hi &lt;- (SP + 1); SP &lt;- SP + 2 |</v>
      </c>
    </row>
    <row r="264" spans="1:1" x14ac:dyDescent="0.2">
      <c r="A264" s="5" t="str">
        <f>"| "&amp;OpCode!A204&amp;" | "&amp;OpCode!B204&amp;" | "&amp;OpCode!C204&amp;" | "&amp;OpCode!D204&amp;" | "&amp;OpCode!E204&amp;" | "&amp;OpCode!F204&amp;" | "&amp;SUBSTITUTE(OpCode!G204,"|","/")&amp;" | "&amp;SUBSTITUTE(OpCode!H204,"|","/")&amp;" | ```"&amp;OpCode!I204&amp;"``` | "&amp;OpCode!J204&amp;" |"&amp;OpCode!K204&amp;" |"</f>
        <v>| CA | JZ | a16 | branch | abs | 3 | 2/3 | 7/10 | ```........``` | JZ a16 |if Z, PC &lt;- adr |</v>
      </c>
    </row>
    <row r="265" spans="1:1" x14ac:dyDescent="0.2">
      <c r="A265" s="5" t="str">
        <f>"| "&amp;OpCode!A205&amp;" | "&amp;OpCode!B205&amp;" | "&amp;OpCode!C205&amp;" | "&amp;OpCode!D205&amp;" | "&amp;OpCode!E205&amp;" | "&amp;OpCode!F205&amp;" | "&amp;SUBSTITUTE(OpCode!G205,"|","/")&amp;" | "&amp;SUBSTITUTE(OpCode!H205,"|","/")&amp;" | ```"&amp;OpCode!I205&amp;"``` | "&amp;OpCode!J205&amp;" |"&amp;OpCode!K205&amp;" |"</f>
        <v>| CB | RSTV |  | branch | abs | 1 | 1/3 | 6/12 | ```........``` | RSTV |Call $0040 if overflag (V) flag is set |</v>
      </c>
    </row>
    <row r="266" spans="1:1" x14ac:dyDescent="0.2">
      <c r="A266" s="5" t="str">
        <f>"| "&amp;OpCode!A206&amp;" | "&amp;OpCode!B206&amp;" | "&amp;OpCode!C206&amp;" | "&amp;OpCode!D206&amp;" | "&amp;OpCode!E206&amp;" | "&amp;OpCode!F206&amp;" | "&amp;SUBSTITUTE(OpCode!G206,"|","/")&amp;" | "&amp;SUBSTITUTE(OpCode!H206,"|","/")&amp;" | ```"&amp;OpCode!I206&amp;"``` | "&amp;OpCode!J206&amp;" |"&amp;OpCode!K206&amp;" |"</f>
        <v>| CC | CZ | a16 | branch | abs | 3 | 2/5 | 9/18 | ```........``` | CZ a16 |if Z, CALL adr |</v>
      </c>
    </row>
    <row r="267" spans="1:1" x14ac:dyDescent="0.2">
      <c r="A267" s="5" t="str">
        <f>"| "&amp;OpCode!A207&amp;" | "&amp;OpCode!B207&amp;" | "&amp;OpCode!C207&amp;" | "&amp;OpCode!D207&amp;" | "&amp;OpCode!E207&amp;" | "&amp;OpCode!F207&amp;" | "&amp;SUBSTITUTE(OpCode!G207,"|","/")&amp;" | "&amp;SUBSTITUTE(OpCode!H207,"|","/")&amp;" | ```"&amp;OpCode!I207&amp;"``` | "&amp;OpCode!J207&amp;" |"&amp;OpCode!K207&amp;" |"</f>
        <v>| CD | CALL | a16 | branch | abs | 3 | 5 | 18 | ```........``` | CALL a16 |(SP - 1) &lt;- PC.hi; (SP - 2) &lt;- PC.lo; SP &lt;- SP - 2; PC &lt;- adr |</v>
      </c>
    </row>
    <row r="268" spans="1:1" x14ac:dyDescent="0.2">
      <c r="A268" s="5" t="str">
        <f>"| "&amp;OpCode!A208&amp;" | "&amp;OpCode!B208&amp;" | "&amp;OpCode!C208&amp;" | "&amp;OpCode!D208&amp;" | "&amp;OpCode!E208&amp;" | "&amp;OpCode!F208&amp;" | "&amp;SUBSTITUTE(OpCode!G208,"|","/")&amp;" | "&amp;SUBSTITUTE(OpCode!H208,"|","/")&amp;" | ```"&amp;OpCode!I208&amp;"``` | "&amp;OpCode!J208&amp;" |"&amp;OpCode!K208&amp;" |"</f>
        <v>| CE | ACI | d8 | arith | imm | 2 | 2 | 7 | ```SZKA.PVC``` | ACI d8 |A &lt;- A + byte_2 + CY |</v>
      </c>
    </row>
    <row r="269" spans="1:1" x14ac:dyDescent="0.2">
      <c r="A269" s="5" t="str">
        <f>"| "&amp;OpCode!A209&amp;" | "&amp;OpCode!B209&amp;" | "&amp;OpCode!C209&amp;" | "&amp;OpCode!D209&amp;" | "&amp;OpCode!E209&amp;" | "&amp;OpCode!F209&amp;" | "&amp;SUBSTITUTE(OpCode!G209,"|","/")&amp;" | "&amp;SUBSTITUTE(OpCode!H209,"|","/")&amp;" | ```"&amp;OpCode!I209&amp;"``` | "&amp;OpCode!J209&amp;" |"&amp;OpCode!K209&amp;" |"</f>
        <v>| CF | RST | 1 | branch | imp | 1 | 3 | 12 | ```........``` | RST 1 |CALL $8 |</v>
      </c>
    </row>
    <row r="270" spans="1:1" x14ac:dyDescent="0.2">
      <c r="A270" s="5" t="str">
        <f>"| "&amp;OpCode!A210&amp;" | "&amp;OpCode!B210&amp;" | "&amp;OpCode!C210&amp;" | "&amp;OpCode!D210&amp;" | "&amp;OpCode!E210&amp;" | "&amp;OpCode!F210&amp;" | "&amp;SUBSTITUTE(OpCode!G210,"|","/")&amp;" | "&amp;SUBSTITUTE(OpCode!H210,"|","/")&amp;" | ```"&amp;OpCode!I210&amp;"``` | "&amp;OpCode!J210&amp;" |"&amp;OpCode!K210&amp;" |"</f>
        <v>| D0 | RNC |  | branch | abs | 1 | 1/3 | 6/12 | ```........``` | RNC |if NCY, RET |</v>
      </c>
    </row>
    <row r="271" spans="1:1" x14ac:dyDescent="0.2">
      <c r="A271" s="5" t="str">
        <f>"| "&amp;OpCode!A211&amp;" | "&amp;OpCode!B211&amp;" | "&amp;OpCode!C211&amp;" | "&amp;OpCode!D211&amp;" | "&amp;OpCode!E211&amp;" | "&amp;OpCode!F211&amp;" | "&amp;SUBSTITUTE(OpCode!G211,"|","/")&amp;" | "&amp;SUBSTITUTE(OpCode!H211,"|","/")&amp;" | ```"&amp;OpCode!I211&amp;"``` | "&amp;OpCode!J211&amp;" |"&amp;OpCode!K211&amp;" |"</f>
        <v>| D1 | POP | D | stack | reg | 1 | 3 | 10 | ```........``` | POP D |E &lt;- (SP); D &lt;- (SP + 1); SP &lt;- SP + 2 |</v>
      </c>
    </row>
    <row r="272" spans="1:1" x14ac:dyDescent="0.2">
      <c r="A272" s="5" t="str">
        <f>"| "&amp;OpCode!A212&amp;" | "&amp;OpCode!B212&amp;" | "&amp;OpCode!C212&amp;" | "&amp;OpCode!D212&amp;" | "&amp;OpCode!E212&amp;" | "&amp;OpCode!F212&amp;" | "&amp;SUBSTITUTE(OpCode!G212,"|","/")&amp;" | "&amp;SUBSTITUTE(OpCode!H212,"|","/")&amp;" | ```"&amp;OpCode!I212&amp;"``` | "&amp;OpCode!J212&amp;" |"&amp;OpCode!K212&amp;" |"</f>
        <v>| D2 | JNC | a16 | branch | abs | 3 | 2/3 | 7/10 | ```........``` | JNC a16 |if NCY, PC &lt;- adr |</v>
      </c>
    </row>
    <row r="273" spans="1:1" x14ac:dyDescent="0.2">
      <c r="A273" s="5" t="str">
        <f>"| "&amp;OpCode!A213&amp;" | "&amp;OpCode!B213&amp;" | "&amp;OpCode!C213&amp;" | "&amp;OpCode!D213&amp;" | "&amp;OpCode!E213&amp;" | "&amp;OpCode!F213&amp;" | "&amp;SUBSTITUTE(OpCode!G213,"|","/")&amp;" | "&amp;SUBSTITUTE(OpCode!H213,"|","/")&amp;" | ```"&amp;OpCode!I213&amp;"``` | "&amp;OpCode!J213&amp;" |"&amp;OpCode!K213&amp;" |"</f>
        <v>| D3 | OUT | d8 | control | imm | 2 | 3 | 10 | ```........``` | OUT d8 |Special |</v>
      </c>
    </row>
    <row r="274" spans="1:1" x14ac:dyDescent="0.2">
      <c r="A274" s="5" t="str">
        <f>"| "&amp;OpCode!A214&amp;" | "&amp;OpCode!B214&amp;" | "&amp;OpCode!C214&amp;" | "&amp;OpCode!D214&amp;" | "&amp;OpCode!E214&amp;" | "&amp;OpCode!F214&amp;" | "&amp;SUBSTITUTE(OpCode!G214,"|","/")&amp;" | "&amp;SUBSTITUTE(OpCode!H214,"|","/")&amp;" | ```"&amp;OpCode!I214&amp;"``` | "&amp;OpCode!J214&amp;" |"&amp;OpCode!K214&amp;" |"</f>
        <v>| D4 | CNC | a16 | branch | abs | 3 | 2/5 | 9/18 | ```........``` | CNC a16 |if NCY, CALL adr |</v>
      </c>
    </row>
    <row r="275" spans="1:1" x14ac:dyDescent="0.2">
      <c r="A275" s="5" t="str">
        <f>"| "&amp;OpCode!A215&amp;" | "&amp;OpCode!B215&amp;" | "&amp;OpCode!C215&amp;" | "&amp;OpCode!D215&amp;" | "&amp;OpCode!E215&amp;" | "&amp;OpCode!F215&amp;" | "&amp;SUBSTITUTE(OpCode!G215,"|","/")&amp;" | "&amp;SUBSTITUTE(OpCode!H215,"|","/")&amp;" | ```"&amp;OpCode!I215&amp;"``` | "&amp;OpCode!J215&amp;" |"&amp;OpCode!K215&amp;" |"</f>
        <v>| D5 | PUSH | D | stack | reg | 1 | 3 | 13 | ```........``` | PUSH D |(SP - 2) &lt;- E; (SP - 1) &lt;- D; SP &lt;- SP - 2 |</v>
      </c>
    </row>
    <row r="276" spans="1:1" x14ac:dyDescent="0.2">
      <c r="A276" s="5" t="str">
        <f>"| "&amp;OpCode!A216&amp;" | "&amp;OpCode!B216&amp;" | "&amp;OpCode!C216&amp;" | "&amp;OpCode!D216&amp;" | "&amp;OpCode!E216&amp;" | "&amp;OpCode!F216&amp;" | "&amp;SUBSTITUTE(OpCode!G216,"|","/")&amp;" | "&amp;SUBSTITUTE(OpCode!H216,"|","/")&amp;" | ```"&amp;OpCode!I216&amp;"``` | "&amp;OpCode!J216&amp;" |"&amp;OpCode!K216&amp;" |"</f>
        <v>| D6 | SUI | d8 | arith | imm | 2 | 2 | 7 | ```SZKA.PVC``` | SUI d8 |A &lt;- A - byte_2 |</v>
      </c>
    </row>
    <row r="277" spans="1:1" x14ac:dyDescent="0.2">
      <c r="A277" s="5" t="str">
        <f>"| "&amp;OpCode!A217&amp;" | "&amp;OpCode!B217&amp;" | "&amp;OpCode!C217&amp;" | "&amp;OpCode!D217&amp;" | "&amp;OpCode!E217&amp;" | "&amp;OpCode!F217&amp;" | "&amp;SUBSTITUTE(OpCode!G217,"|","/")&amp;" | "&amp;SUBSTITUTE(OpCode!H217,"|","/")&amp;" | ```"&amp;OpCode!I217&amp;"``` | "&amp;OpCode!J217&amp;" |"&amp;OpCode!K217&amp;" |"</f>
        <v>| D7 | RST | 2 | branch | imp | 1 | 3 | 12 | ```........``` | RST 2 |CALL $10 |</v>
      </c>
    </row>
    <row r="278" spans="1:1" x14ac:dyDescent="0.2">
      <c r="A278" s="5" t="str">
        <f>"| "&amp;OpCode!A218&amp;" | "&amp;OpCode!B218&amp;" | "&amp;OpCode!C218&amp;" | "&amp;OpCode!D218&amp;" | "&amp;OpCode!E218&amp;" | "&amp;OpCode!F218&amp;" | "&amp;SUBSTITUTE(OpCode!G218,"|","/")&amp;" | "&amp;SUBSTITUTE(OpCode!H218,"|","/")&amp;" | ```"&amp;OpCode!I218&amp;"``` | "&amp;OpCode!J218&amp;" |"&amp;OpCode!K218&amp;" |"</f>
        <v>| D8 | RC |  | branch | abs | 1 | 1/3 | 6/12 | ```........``` | RC |if CY, RET |</v>
      </c>
    </row>
    <row r="279" spans="1:1" x14ac:dyDescent="0.2">
      <c r="A279" s="5" t="str">
        <f>"| "&amp;OpCode!A219&amp;" | "&amp;OpCode!B219&amp;" | "&amp;OpCode!C219&amp;" | "&amp;OpCode!D219&amp;" | "&amp;OpCode!E219&amp;" | "&amp;OpCode!F219&amp;" | "&amp;SUBSTITUTE(OpCode!G219,"|","/")&amp;" | "&amp;SUBSTITUTE(OpCode!H219,"|","/")&amp;" | ```"&amp;OpCode!I219&amp;"``` | "&amp;OpCode!J219&amp;" |"&amp;OpCode!K219&amp;" |"</f>
        <v>| D9 | SHLX |  | data | ind_reg | 1 | 3 | 10 | ```........``` | SHLX |(DE) &lt;- L; (DE + 1) &lt;- H |</v>
      </c>
    </row>
    <row r="280" spans="1:1" x14ac:dyDescent="0.2">
      <c r="A280" s="5" t="str">
        <f>"| "&amp;OpCode!A220&amp;" | "&amp;OpCode!B220&amp;" | "&amp;OpCode!C220&amp;" | "&amp;OpCode!D220&amp;" | "&amp;OpCode!E220&amp;" | "&amp;OpCode!F220&amp;" | "&amp;SUBSTITUTE(OpCode!G220,"|","/")&amp;" | "&amp;SUBSTITUTE(OpCode!H220,"|","/")&amp;" | ```"&amp;OpCode!I220&amp;"``` | "&amp;OpCode!J220&amp;" |"&amp;OpCode!K220&amp;" |"</f>
        <v>| DA | JC | a16 | branch | abs | 3 | 2/3 | 7/10 | ```........``` | JC a16 |if CY, PC &lt;- adr |</v>
      </c>
    </row>
    <row r="281" spans="1:1" x14ac:dyDescent="0.2">
      <c r="A281" s="5" t="str">
        <f>"| "&amp;OpCode!A221&amp;" | "&amp;OpCode!B221&amp;" | "&amp;OpCode!C221&amp;" | "&amp;OpCode!D221&amp;" | "&amp;OpCode!E221&amp;" | "&amp;OpCode!F221&amp;" | "&amp;SUBSTITUTE(OpCode!G221,"|","/")&amp;" | "&amp;SUBSTITUTE(OpCode!H221,"|","/")&amp;" | ```"&amp;OpCode!I221&amp;"``` | "&amp;OpCode!J221&amp;" |"&amp;OpCode!K221&amp;" |"</f>
        <v>| DB | IN | d8 | control | imm | 2 | 3 | 10 | ```........``` | IN d8 |Special |</v>
      </c>
    </row>
    <row r="282" spans="1:1" x14ac:dyDescent="0.2">
      <c r="A282" s="5" t="str">
        <f>"| "&amp;OpCode!A222&amp;" | "&amp;OpCode!B222&amp;" | "&amp;OpCode!C222&amp;" | "&amp;OpCode!D222&amp;" | "&amp;OpCode!E222&amp;" | "&amp;OpCode!F222&amp;" | "&amp;SUBSTITUTE(OpCode!G222,"|","/")&amp;" | "&amp;SUBSTITUTE(OpCode!H222,"|","/")&amp;" | ```"&amp;OpCode!I222&amp;"``` | "&amp;OpCode!J222&amp;" |"&amp;OpCode!K222&amp;" |"</f>
        <v>| DC | CC | a16 | branch | abs | 3 | 2/5 | 9/18 | ```........``` | CC a16 |if CY, CALL adr |</v>
      </c>
    </row>
    <row r="283" spans="1:1" x14ac:dyDescent="0.2">
      <c r="A283" s="5" t="str">
        <f>"| "&amp;OpCode!A223&amp;" | "&amp;OpCode!B223&amp;" | "&amp;OpCode!C223&amp;" | "&amp;OpCode!D223&amp;" | "&amp;OpCode!E223&amp;" | "&amp;OpCode!F223&amp;" | "&amp;SUBSTITUTE(OpCode!G223,"|","/")&amp;" | "&amp;SUBSTITUTE(OpCode!H223,"|","/")&amp;" | ```"&amp;OpCode!I223&amp;"``` | "&amp;OpCode!J223&amp;" |"&amp;OpCode!K223&amp;" |"</f>
        <v>| DD | JNK | a16 | branch | abs | 3 | 2/3 | 7/10 | ```........``` | JNK a16 |if NK, PC &lt;- adr |</v>
      </c>
    </row>
    <row r="284" spans="1:1" x14ac:dyDescent="0.2">
      <c r="A284" s="5" t="str">
        <f>"| "&amp;OpCode!A224&amp;" | "&amp;OpCode!B224&amp;" | "&amp;OpCode!C224&amp;" | "&amp;OpCode!D224&amp;" | "&amp;OpCode!E224&amp;" | "&amp;OpCode!F224&amp;" | "&amp;SUBSTITUTE(OpCode!G224,"|","/")&amp;" | "&amp;SUBSTITUTE(OpCode!H224,"|","/")&amp;" | ```"&amp;OpCode!I224&amp;"``` | "&amp;OpCode!J224&amp;" |"&amp;OpCode!K224&amp;" |"</f>
        <v>| DE | SBI | d8 | arith | imm | 2 | 2 | 7 | ```SZKA.PVC``` | SBI d8 |A &lt;- A - byte_2 - CY |</v>
      </c>
    </row>
    <row r="285" spans="1:1" x14ac:dyDescent="0.2">
      <c r="A285" s="5" t="str">
        <f>"| "&amp;OpCode!A225&amp;" | "&amp;OpCode!B225&amp;" | "&amp;OpCode!C225&amp;" | "&amp;OpCode!D225&amp;" | "&amp;OpCode!E225&amp;" | "&amp;OpCode!F225&amp;" | "&amp;SUBSTITUTE(OpCode!G225,"|","/")&amp;" | "&amp;SUBSTITUTE(OpCode!H225,"|","/")&amp;" | ```"&amp;OpCode!I225&amp;"``` | "&amp;OpCode!J225&amp;" |"&amp;OpCode!K225&amp;" |"</f>
        <v>| DF | RST | 3 | branch | imp | 1 | 3 | 12 | ```........``` | RST 3 |CALL $18 |</v>
      </c>
    </row>
    <row r="286" spans="1:1" x14ac:dyDescent="0.2">
      <c r="A286" s="5" t="str">
        <f>"| "&amp;OpCode!A226&amp;" | "&amp;OpCode!B226&amp;" | "&amp;OpCode!C226&amp;" | "&amp;OpCode!D226&amp;" | "&amp;OpCode!E226&amp;" | "&amp;OpCode!F226&amp;" | "&amp;SUBSTITUTE(OpCode!G226,"|","/")&amp;" | "&amp;SUBSTITUTE(OpCode!H226,"|","/")&amp;" | ```"&amp;OpCode!I226&amp;"``` | "&amp;OpCode!J226&amp;" |"&amp;OpCode!K226&amp;" |"</f>
        <v>| E0 | RPO |  | branch | abs | 1 | 1/3 | 6/12 | ```........``` | RPO |if PO, RET |</v>
      </c>
    </row>
    <row r="287" spans="1:1" x14ac:dyDescent="0.2">
      <c r="A287" s="5" t="str">
        <f>"| "&amp;OpCode!A227&amp;" | "&amp;OpCode!B227&amp;" | "&amp;OpCode!C227&amp;" | "&amp;OpCode!D227&amp;" | "&amp;OpCode!E227&amp;" | "&amp;OpCode!F227&amp;" | "&amp;SUBSTITUTE(OpCode!G227,"|","/")&amp;" | "&amp;SUBSTITUTE(OpCode!H227,"|","/")&amp;" | ```"&amp;OpCode!I227&amp;"``` | "&amp;OpCode!J227&amp;" |"&amp;OpCode!K227&amp;" |"</f>
        <v>| E1 | POP | H | stack | reg | 1 | 3 | 10 | ```........``` | POP H |L &lt;- (SP); H &lt;- (SP + 1); SP &lt;- SP + 2 |</v>
      </c>
    </row>
    <row r="288" spans="1:1" x14ac:dyDescent="0.2">
      <c r="A288" s="5" t="str">
        <f>"| "&amp;OpCode!A228&amp;" | "&amp;OpCode!B228&amp;" | "&amp;OpCode!C228&amp;" | "&amp;OpCode!D228&amp;" | "&amp;OpCode!E228&amp;" | "&amp;OpCode!F228&amp;" | "&amp;SUBSTITUTE(OpCode!G228,"|","/")&amp;" | "&amp;SUBSTITUTE(OpCode!H228,"|","/")&amp;" | ```"&amp;OpCode!I228&amp;"``` | "&amp;OpCode!J228&amp;" |"&amp;OpCode!K228&amp;" |"</f>
        <v>| E2 | JPO | a16 | branch | abs | 3 | 2/3 | 7/10 | ```........``` | JPO a16 |if PO, PC &lt;- adr |</v>
      </c>
    </row>
    <row r="289" spans="1:1" x14ac:dyDescent="0.2">
      <c r="A289" s="5" t="str">
        <f>"| "&amp;OpCode!A229&amp;" | "&amp;OpCode!B229&amp;" | "&amp;OpCode!C229&amp;" | "&amp;OpCode!D229&amp;" | "&amp;OpCode!E229&amp;" | "&amp;OpCode!F229&amp;" | "&amp;SUBSTITUTE(OpCode!G229,"|","/")&amp;" | "&amp;SUBSTITUTE(OpCode!H229,"|","/")&amp;" | ```"&amp;OpCode!I229&amp;"``` | "&amp;OpCode!J229&amp;" |"&amp;OpCode!K229&amp;" |"</f>
        <v>| E3 | XTHL |  | stack | imp | 1 | 5 | 16 | ```........``` | XTHL |L &lt;- &gt; (SP); H &lt;- &gt; (SP + 1) |</v>
      </c>
    </row>
    <row r="290" spans="1:1" x14ac:dyDescent="0.2">
      <c r="A290" s="5" t="str">
        <f>"| "&amp;OpCode!A230&amp;" | "&amp;OpCode!B230&amp;" | "&amp;OpCode!C230&amp;" | "&amp;OpCode!D230&amp;" | "&amp;OpCode!E230&amp;" | "&amp;OpCode!F230&amp;" | "&amp;SUBSTITUTE(OpCode!G230,"|","/")&amp;" | "&amp;SUBSTITUTE(OpCode!H230,"|","/")&amp;" | ```"&amp;OpCode!I230&amp;"``` | "&amp;OpCode!J230&amp;" |"&amp;OpCode!K230&amp;" |"</f>
        <v>| E4 | CPO | a16 | branch | abs | 3 | 2/5 | 9/18 | ```........``` | CPO a16 |if PO, CALL adr |</v>
      </c>
    </row>
    <row r="291" spans="1:1" x14ac:dyDescent="0.2">
      <c r="A291" s="5" t="str">
        <f>"| "&amp;OpCode!A231&amp;" | "&amp;OpCode!B231&amp;" | "&amp;OpCode!C231&amp;" | "&amp;OpCode!D231&amp;" | "&amp;OpCode!E231&amp;" | "&amp;OpCode!F231&amp;" | "&amp;SUBSTITUTE(OpCode!G231,"|","/")&amp;" | "&amp;SUBSTITUTE(OpCode!H231,"|","/")&amp;" | ```"&amp;OpCode!I231&amp;"``` | "&amp;OpCode!J231&amp;" |"&amp;OpCode!K231&amp;" |"</f>
        <v>| E5 | PUSH | H | stack | reg | 1 | 3 | 13 | ```........``` | PUSH H |(SP - 2) &lt;- L; (SP - 1) &lt;- H; SP &lt;- SP - 2 |</v>
      </c>
    </row>
    <row r="292" spans="1:1" x14ac:dyDescent="0.2">
      <c r="A292" s="5" t="str">
        <f>"| "&amp;OpCode!A232&amp;" | "&amp;OpCode!B232&amp;" | "&amp;OpCode!C232&amp;" | "&amp;OpCode!D232&amp;" | "&amp;OpCode!E232&amp;" | "&amp;OpCode!F232&amp;" | "&amp;SUBSTITUTE(OpCode!G232,"|","/")&amp;" | "&amp;SUBSTITUTE(OpCode!H232,"|","/")&amp;" | ```"&amp;OpCode!I232&amp;"``` | "&amp;OpCode!J232&amp;" |"&amp;OpCode!K232&amp;" |"</f>
        <v>| E6 | ANI | d8 | logic | imm | 2 | 2 | 7 | ```SZK1.P00``` | ANI d8 |A &lt;- A &amp; byte_2 |</v>
      </c>
    </row>
    <row r="293" spans="1:1" x14ac:dyDescent="0.2">
      <c r="A293" s="5" t="str">
        <f>"| "&amp;OpCode!A233&amp;" | "&amp;OpCode!B233&amp;" | "&amp;OpCode!C233&amp;" | "&amp;OpCode!D233&amp;" | "&amp;OpCode!E233&amp;" | "&amp;OpCode!F233&amp;" | "&amp;SUBSTITUTE(OpCode!G233,"|","/")&amp;" | "&amp;SUBSTITUTE(OpCode!H233,"|","/")&amp;" | ```"&amp;OpCode!I233&amp;"``` | "&amp;OpCode!J233&amp;" |"&amp;OpCode!K233&amp;" |"</f>
        <v>| E7 | RST | 4 | branch | imp | 1 | 3 | 12 | ```........``` | RST 4 |CALL $20 |</v>
      </c>
    </row>
    <row r="294" spans="1:1" x14ac:dyDescent="0.2">
      <c r="A294" s="5" t="str">
        <f>"| "&amp;OpCode!A234&amp;" | "&amp;OpCode!B234&amp;" | "&amp;OpCode!C234&amp;" | "&amp;OpCode!D234&amp;" | "&amp;OpCode!E234&amp;" | "&amp;OpCode!F234&amp;" | "&amp;SUBSTITUTE(OpCode!G234,"|","/")&amp;" | "&amp;SUBSTITUTE(OpCode!H234,"|","/")&amp;" | ```"&amp;OpCode!I234&amp;"``` | "&amp;OpCode!J234&amp;" |"&amp;OpCode!K234&amp;" |"</f>
        <v>| E8 | RPE |  | branch | abs | 1 | 1/3 | 6/12 | ```........``` | RPE |if PE, RET |</v>
      </c>
    </row>
    <row r="295" spans="1:1" x14ac:dyDescent="0.2">
      <c r="A295" s="5" t="str">
        <f>"| "&amp;OpCode!A235&amp;" | "&amp;OpCode!B235&amp;" | "&amp;OpCode!C235&amp;" | "&amp;OpCode!D235&amp;" | "&amp;OpCode!E235&amp;" | "&amp;OpCode!F235&amp;" | "&amp;SUBSTITUTE(OpCode!G235,"|","/")&amp;" | "&amp;SUBSTITUTE(OpCode!H235,"|","/")&amp;" | ```"&amp;OpCode!I235&amp;"``` | "&amp;OpCode!J235&amp;" |"&amp;OpCode!K235&amp;" |"</f>
        <v>| E9 | PCHL |  | branch | imp | 1 | 1 | 6 | ```........``` | PCHL |PC &lt;- HL |</v>
      </c>
    </row>
    <row r="296" spans="1:1" x14ac:dyDescent="0.2">
      <c r="A296" s="5" t="str">
        <f>"| "&amp;OpCode!A236&amp;" | "&amp;OpCode!B236&amp;" | "&amp;OpCode!C236&amp;" | "&amp;OpCode!D236&amp;" | "&amp;OpCode!E236&amp;" | "&amp;OpCode!F236&amp;" | "&amp;SUBSTITUTE(OpCode!G236,"|","/")&amp;" | "&amp;SUBSTITUTE(OpCode!H236,"|","/")&amp;" | ```"&amp;OpCode!I236&amp;"``` | "&amp;OpCode!J236&amp;" |"&amp;OpCode!K236&amp;" |"</f>
        <v>| EA | JPE | a16 | branch | abs | 3 | 2/3 | 7/10 | ```........``` | JPE a16 |if PE, PC &lt;- adr |</v>
      </c>
    </row>
    <row r="297" spans="1:1" x14ac:dyDescent="0.2">
      <c r="A297" s="5" t="str">
        <f>"| "&amp;OpCode!A237&amp;" | "&amp;OpCode!B237&amp;" | "&amp;OpCode!C237&amp;" | "&amp;OpCode!D237&amp;" | "&amp;OpCode!E237&amp;" | "&amp;OpCode!F237&amp;" | "&amp;SUBSTITUTE(OpCode!G237,"|","/")&amp;" | "&amp;SUBSTITUTE(OpCode!H237,"|","/")&amp;" | ```"&amp;OpCode!I237&amp;"``` | "&amp;OpCode!J237&amp;" |"&amp;OpCode!K237&amp;" |"</f>
        <v>| EB | XCHG |  | data | reg | 1 | 1 | 4 | ```........``` | XCHG |H &lt;- &gt; D; L &lt;- &gt; E |</v>
      </c>
    </row>
    <row r="298" spans="1:1" x14ac:dyDescent="0.2">
      <c r="A298" s="5" t="str">
        <f>"| "&amp;OpCode!A238&amp;" | "&amp;OpCode!B238&amp;" | "&amp;OpCode!C238&amp;" | "&amp;OpCode!D238&amp;" | "&amp;OpCode!E238&amp;" | "&amp;OpCode!F238&amp;" | "&amp;SUBSTITUTE(OpCode!G238,"|","/")&amp;" | "&amp;SUBSTITUTE(OpCode!H238,"|","/")&amp;" | ```"&amp;OpCode!I238&amp;"``` | "&amp;OpCode!J238&amp;" |"&amp;OpCode!K238&amp;" |"</f>
        <v>| EC | CPE | a16 | branch | abs | 3 | 2/5 | 9/18 | ```........``` | CPE a16 |if PE, CALL adr |</v>
      </c>
    </row>
    <row r="299" spans="1:1" x14ac:dyDescent="0.2">
      <c r="A299" s="5" t="str">
        <f>"| "&amp;OpCode!A239&amp;" | "&amp;OpCode!B239&amp;" | "&amp;OpCode!C239&amp;" | "&amp;OpCode!D239&amp;" | "&amp;OpCode!E239&amp;" | "&amp;OpCode!F239&amp;" | "&amp;SUBSTITUTE(OpCode!G239,"|","/")&amp;" | "&amp;SUBSTITUTE(OpCode!H239,"|","/")&amp;" | ```"&amp;OpCode!I239&amp;"``` | "&amp;OpCode!J239&amp;" |"&amp;OpCode!K239&amp;" |"</f>
        <v>| ED | LHLX |  | data | ind_reg | 1 | 3 | 10 | ```........``` | LHLX |L &lt;- (DE); H &lt;- (DE + 1) |</v>
      </c>
    </row>
    <row r="300" spans="1:1" x14ac:dyDescent="0.2">
      <c r="A300" s="5" t="str">
        <f>"| "&amp;OpCode!A240&amp;" | "&amp;OpCode!B240&amp;" | "&amp;OpCode!C240&amp;" | "&amp;OpCode!D240&amp;" | "&amp;OpCode!E240&amp;" | "&amp;OpCode!F240&amp;" | "&amp;SUBSTITUTE(OpCode!G240,"|","/")&amp;" | "&amp;SUBSTITUTE(OpCode!H240,"|","/")&amp;" | ```"&amp;OpCode!I240&amp;"``` | "&amp;OpCode!J240&amp;" |"&amp;OpCode!K240&amp;" |"</f>
        <v>| EE | XRI | d8 | logic | imm | 2 | 2 | 7 | ```SZK0.P.0``` | XRI d8 |A &lt;- A ^ byte_2 |</v>
      </c>
    </row>
    <row r="301" spans="1:1" x14ac:dyDescent="0.2">
      <c r="A301" s="5" t="str">
        <f>"| "&amp;OpCode!A241&amp;" | "&amp;OpCode!B241&amp;" | "&amp;OpCode!C241&amp;" | "&amp;OpCode!D241&amp;" | "&amp;OpCode!E241&amp;" | "&amp;OpCode!F241&amp;" | "&amp;SUBSTITUTE(OpCode!G241,"|","/")&amp;" | "&amp;SUBSTITUTE(OpCode!H241,"|","/")&amp;" | ```"&amp;OpCode!I241&amp;"``` | "&amp;OpCode!J241&amp;" |"&amp;OpCode!K241&amp;" |"</f>
        <v>| EF | RST | 5 | branch | imp | 1 | 3 | 12 | ```........``` | RST 5 |CALL $28 |</v>
      </c>
    </row>
    <row r="302" spans="1:1" x14ac:dyDescent="0.2">
      <c r="A302" s="5" t="str">
        <f>"| "&amp;OpCode!A242&amp;" | "&amp;OpCode!B242&amp;" | "&amp;OpCode!C242&amp;" | "&amp;OpCode!D242&amp;" | "&amp;OpCode!E242&amp;" | "&amp;OpCode!F242&amp;" | "&amp;SUBSTITUTE(OpCode!G242,"|","/")&amp;" | "&amp;SUBSTITUTE(OpCode!H242,"|","/")&amp;" | ```"&amp;OpCode!I242&amp;"``` | "&amp;OpCode!J242&amp;" |"&amp;OpCode!K242&amp;" |"</f>
        <v>| F0 | RP |  | branch | abs | 1 | 1/3 | 6/12 | ```........``` | RP |if P, RET |</v>
      </c>
    </row>
    <row r="303" spans="1:1" x14ac:dyDescent="0.2">
      <c r="A303" s="5" t="str">
        <f>"| "&amp;OpCode!A243&amp;" | "&amp;OpCode!B243&amp;" | "&amp;OpCode!C243&amp;" | "&amp;OpCode!D243&amp;" | "&amp;OpCode!E243&amp;" | "&amp;OpCode!F243&amp;" | "&amp;SUBSTITUTE(OpCode!G243,"|","/")&amp;" | "&amp;SUBSTITUTE(OpCode!H243,"|","/")&amp;" | ```"&amp;OpCode!I243&amp;"``` | "&amp;OpCode!J243&amp;" |"&amp;OpCode!K243&amp;" |"</f>
        <v>| F1 | POP | PSW | stack | reg | 1 |  |  | ```SZKA.PVC``` | POP PSW |flags &lt;- (SP); A &lt;- (SP + 1); SP &lt;- SP + 2 |</v>
      </c>
    </row>
    <row r="304" spans="1:1" x14ac:dyDescent="0.2">
      <c r="A304" s="5" t="str">
        <f>"| "&amp;OpCode!A244&amp;" | "&amp;OpCode!B244&amp;" | "&amp;OpCode!C244&amp;" | "&amp;OpCode!D244&amp;" | "&amp;OpCode!E244&amp;" | "&amp;OpCode!F244&amp;" | "&amp;SUBSTITUTE(OpCode!G244,"|","/")&amp;" | "&amp;SUBSTITUTE(OpCode!H244,"|","/")&amp;" | ```"&amp;OpCode!I244&amp;"``` | "&amp;OpCode!J244&amp;" |"&amp;OpCode!K244&amp;" |"</f>
        <v>| F2 | JP | a16 | branch | abs | 3 | 2/3 | 7/10 | ```........``` | JP a16 |if P, PC &lt;- adr |</v>
      </c>
    </row>
    <row r="305" spans="1:1" x14ac:dyDescent="0.2">
      <c r="A305" s="5" t="str">
        <f>"| "&amp;OpCode!A245&amp;" | "&amp;OpCode!B245&amp;" | "&amp;OpCode!C245&amp;" | "&amp;OpCode!D245&amp;" | "&amp;OpCode!E245&amp;" | "&amp;OpCode!F245&amp;" | "&amp;SUBSTITUTE(OpCode!G245,"|","/")&amp;" | "&amp;SUBSTITUTE(OpCode!H245,"|","/")&amp;" | ```"&amp;OpCode!I245&amp;"``` | "&amp;OpCode!J245&amp;" |"&amp;OpCode!K245&amp;" |"</f>
        <v>| F3 | DI |  | control | imp | 1 |  |  | ```........``` | DI |Special |</v>
      </c>
    </row>
    <row r="306" spans="1:1" x14ac:dyDescent="0.2">
      <c r="A306" s="5" t="str">
        <f>"| "&amp;OpCode!A246&amp;" | "&amp;OpCode!B246&amp;" | "&amp;OpCode!C246&amp;" | "&amp;OpCode!D246&amp;" | "&amp;OpCode!E246&amp;" | "&amp;OpCode!F246&amp;" | "&amp;SUBSTITUTE(OpCode!G246,"|","/")&amp;" | "&amp;SUBSTITUTE(OpCode!H246,"|","/")&amp;" | ```"&amp;OpCode!I246&amp;"``` | "&amp;OpCode!J246&amp;" |"&amp;OpCode!K246&amp;" |"</f>
        <v>| F4 | CP | a16 | branch | abs | 3 | 2/5 | 9/18 | ```........``` | CP a16 |if P, CALL adr |</v>
      </c>
    </row>
    <row r="307" spans="1:1" x14ac:dyDescent="0.2">
      <c r="A307" s="5" t="str">
        <f>"| "&amp;OpCode!A247&amp;" | "&amp;OpCode!B247&amp;" | "&amp;OpCode!C247&amp;" | "&amp;OpCode!D247&amp;" | "&amp;OpCode!E247&amp;" | "&amp;OpCode!F247&amp;" | "&amp;SUBSTITUTE(OpCode!G247,"|","/")&amp;" | "&amp;SUBSTITUTE(OpCode!H247,"|","/")&amp;" | ```"&amp;OpCode!I247&amp;"``` | "&amp;OpCode!J247&amp;" |"&amp;OpCode!K247&amp;" |"</f>
        <v>| F5 | PUSH | PSW | stack | reg | 1 | 3 | 13 | ```........``` | PUSH PSW |(SP - 2) &lt;- flags; (SP - 1) &lt;- A; SP &lt;- SP - 2 |</v>
      </c>
    </row>
    <row r="308" spans="1:1" x14ac:dyDescent="0.2">
      <c r="A308" s="5" t="str">
        <f>"| "&amp;OpCode!A248&amp;" | "&amp;OpCode!B248&amp;" | "&amp;OpCode!C248&amp;" | "&amp;OpCode!D248&amp;" | "&amp;OpCode!E248&amp;" | "&amp;OpCode!F248&amp;" | "&amp;SUBSTITUTE(OpCode!G248,"|","/")&amp;" | "&amp;SUBSTITUTE(OpCode!H248,"|","/")&amp;" | ```"&amp;OpCode!I248&amp;"``` | "&amp;OpCode!J248&amp;" |"&amp;OpCode!K248&amp;" |"</f>
        <v>| F6 | ORI | d8 | logic | imm | 2 |  |  | ```SZK0.P00``` | ORI d8 |A &lt;- A | byte_2 |</v>
      </c>
    </row>
    <row r="309" spans="1:1" x14ac:dyDescent="0.2">
      <c r="A309" s="5" t="str">
        <f>"| "&amp;OpCode!A249&amp;" | "&amp;OpCode!B249&amp;" | "&amp;OpCode!C249&amp;" | "&amp;OpCode!D249&amp;" | "&amp;OpCode!E249&amp;" | "&amp;OpCode!F249&amp;" | "&amp;SUBSTITUTE(OpCode!G249,"|","/")&amp;" | "&amp;SUBSTITUTE(OpCode!H249,"|","/")&amp;" | ```"&amp;OpCode!I249&amp;"``` | "&amp;OpCode!J249&amp;" |"&amp;OpCode!K249&amp;" |"</f>
        <v>| F7 | RST | 6 | branch | imp | 1 | 3 | 12 | ```........``` | RST 6 |CALL $30 |</v>
      </c>
    </row>
    <row r="310" spans="1:1" x14ac:dyDescent="0.2">
      <c r="A310" s="5" t="str">
        <f>"| "&amp;OpCode!A250&amp;" | "&amp;OpCode!B250&amp;" | "&amp;OpCode!C250&amp;" | "&amp;OpCode!D250&amp;" | "&amp;OpCode!E250&amp;" | "&amp;OpCode!F250&amp;" | "&amp;SUBSTITUTE(OpCode!G250,"|","/")&amp;" | "&amp;SUBSTITUTE(OpCode!H250,"|","/")&amp;" | ```"&amp;OpCode!I250&amp;"``` | "&amp;OpCode!J250&amp;" |"&amp;OpCode!K250&amp;" |"</f>
        <v>| F8 | RM |  | branch | abs | 1 | 1/3 | 6/12 | ```........``` | RM |if M, RET |</v>
      </c>
    </row>
    <row r="311" spans="1:1" x14ac:dyDescent="0.2">
      <c r="A311" s="5" t="str">
        <f>"| "&amp;OpCode!A251&amp;" | "&amp;OpCode!B251&amp;" | "&amp;OpCode!C251&amp;" | "&amp;OpCode!D251&amp;" | "&amp;OpCode!E251&amp;" | "&amp;OpCode!F251&amp;" | "&amp;SUBSTITUTE(OpCode!G251,"|","/")&amp;" | "&amp;SUBSTITUTE(OpCode!H251,"|","/")&amp;" | ```"&amp;OpCode!I251&amp;"``` | "&amp;OpCode!J251&amp;" |"&amp;OpCode!K251&amp;" |"</f>
        <v>| F9 | SPHL |  | stack | imp | 1 | 1 | 6 | ```........``` | SPHL |SP &lt;- HL |</v>
      </c>
    </row>
    <row r="312" spans="1:1" x14ac:dyDescent="0.2">
      <c r="A312" s="5" t="str">
        <f>"| "&amp;OpCode!A252&amp;" | "&amp;OpCode!B252&amp;" | "&amp;OpCode!C252&amp;" | "&amp;OpCode!D252&amp;" | "&amp;OpCode!E252&amp;" | "&amp;OpCode!F252&amp;" | "&amp;SUBSTITUTE(OpCode!G252,"|","/")&amp;" | "&amp;SUBSTITUTE(OpCode!H252,"|","/")&amp;" | ```"&amp;OpCode!I252&amp;"``` | "&amp;OpCode!J252&amp;" |"&amp;OpCode!K252&amp;" |"</f>
        <v>| FA | JM | a16 | branch | abs | 3 | 2/3 | 7/10 | ```........``` | JM a16 |if M, PC &lt;- adr |</v>
      </c>
    </row>
    <row r="313" spans="1:1" x14ac:dyDescent="0.2">
      <c r="A313" s="5" t="str">
        <f>"| "&amp;OpCode!A253&amp;" | "&amp;OpCode!B253&amp;" | "&amp;OpCode!C253&amp;" | "&amp;OpCode!D253&amp;" | "&amp;OpCode!E253&amp;" | "&amp;OpCode!F253&amp;" | "&amp;SUBSTITUTE(OpCode!G253,"|","/")&amp;" | "&amp;SUBSTITUTE(OpCode!H253,"|","/")&amp;" | ```"&amp;OpCode!I253&amp;"``` | "&amp;OpCode!J253&amp;" |"&amp;OpCode!K253&amp;" |"</f>
        <v>| FB | EI |  | control | imp | 1 |  |  | ```........``` | EI |Special |</v>
      </c>
    </row>
    <row r="314" spans="1:1" x14ac:dyDescent="0.2">
      <c r="A314" s="5" t="str">
        <f>"| "&amp;OpCode!A254&amp;" | "&amp;OpCode!B254&amp;" | "&amp;OpCode!C254&amp;" | "&amp;OpCode!D254&amp;" | "&amp;OpCode!E254&amp;" | "&amp;OpCode!F254&amp;" | "&amp;SUBSTITUTE(OpCode!G254,"|","/")&amp;" | "&amp;SUBSTITUTE(OpCode!H254,"|","/")&amp;" | ```"&amp;OpCode!I254&amp;"``` | "&amp;OpCode!J254&amp;" |"&amp;OpCode!K254&amp;" |"</f>
        <v>| FC | CM | a16 | branch | abs | 3 | 2/5 | 9/18 | ```........``` | CM a16 |if M, CALL adr |</v>
      </c>
    </row>
    <row r="315" spans="1:1" x14ac:dyDescent="0.2">
      <c r="A315" s="5" t="str">
        <f>"| "&amp;OpCode!A255&amp;" | "&amp;OpCode!B255&amp;" | "&amp;OpCode!C255&amp;" | "&amp;OpCode!D255&amp;" | "&amp;OpCode!E255&amp;" | "&amp;OpCode!F255&amp;" | "&amp;SUBSTITUTE(OpCode!G255,"|","/")&amp;" | "&amp;SUBSTITUTE(OpCode!H255,"|","/")&amp;" | ```"&amp;OpCode!I255&amp;"``` | "&amp;OpCode!J255&amp;" |"&amp;OpCode!K255&amp;" |"</f>
        <v>| FD | JK | a16 | branch | abs | 3 | 2/3 | 7/10 | ```........``` | JK a16 |if K, PC &lt;- adr |</v>
      </c>
    </row>
    <row r="316" spans="1:1" x14ac:dyDescent="0.2">
      <c r="A316" s="5" t="str">
        <f>"| "&amp;OpCode!A256&amp;" | "&amp;OpCode!B256&amp;" | "&amp;OpCode!C256&amp;" | "&amp;OpCode!D256&amp;" | "&amp;OpCode!E256&amp;" | "&amp;OpCode!F256&amp;" | "&amp;SUBSTITUTE(OpCode!G256,"|","/")&amp;" | "&amp;SUBSTITUTE(OpCode!H256,"|","/")&amp;" | ```"&amp;OpCode!I256&amp;"``` | "&amp;OpCode!J256&amp;" |"&amp;OpCode!K256&amp;" |"</f>
        <v>| FE | CPI | d8 | branch | imm | 2 |  |  | ```SZKA.PVC``` | CPI d8 |A - byte_2 |</v>
      </c>
    </row>
    <row r="317" spans="1:1" x14ac:dyDescent="0.2">
      <c r="A317" s="5" t="str">
        <f>"| "&amp;OpCode!A257&amp;" | "&amp;OpCode!B257&amp;" | "&amp;OpCode!C257&amp;" | "&amp;OpCode!D257&amp;" | "&amp;OpCode!E257&amp;" | "&amp;OpCode!F257&amp;" | "&amp;SUBSTITUTE(OpCode!G257,"|","/")&amp;" | "&amp;SUBSTITUTE(OpCode!H257,"|","/")&amp;" | ```"&amp;OpCode!I257&amp;"``` | "&amp;OpCode!J257&amp;" |"&amp;OpCode!K257&amp;" |"</f>
        <v>| FF | RST | 7 | branch | imp | 1 | 3 | 12 | ```........``` | RST 7 |CALL $38 |</v>
      </c>
    </row>
    <row r="319" spans="1:1" x14ac:dyDescent="0.2">
      <c r="A319" s="5" t="s">
        <v>29</v>
      </c>
    </row>
    <row r="320" spans="1:1" x14ac:dyDescent="0.2">
      <c r="A320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21" spans="1:1" x14ac:dyDescent="0.2">
      <c r="A321" s="9" t="s">
        <v>34</v>
      </c>
    </row>
    <row r="322" spans="1:1" x14ac:dyDescent="0.2">
      <c r="A322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NOP  | LXI B,d16 | STAX B | INX B | INR B | DCR B | MVI B,d8 | RLC  | DSUB  | DAD B | LDAX B | DCX B | INR C | DCR C | MVI C,d8 | RRC  |</v>
      </c>
    </row>
    <row r="323" spans="1:1" x14ac:dyDescent="0.2">
      <c r="A323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ARHL  | LXI D,d16 | STAX D | INX D | INR D | DCR D | MVI D,d8 | RAL  | RDEL  | DAD D | LDAX D | DCX D | INR E | DCR E | MVI E,d8 | RAR  |</v>
      </c>
    </row>
    <row r="324" spans="1:1" x14ac:dyDescent="0.2">
      <c r="A324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RIM  | LXI H,d16 | SHLD a16 | INX H | INR H | DCR H | MVI H,d8 | DAA  | LDHI d8 | DAD H | LHLD a16 | DCX H | INR L | DCR L | MVI L,d8 | CMA  |</v>
      </c>
    </row>
    <row r="325" spans="1:1" x14ac:dyDescent="0.2">
      <c r="A325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SIM  | LXI SP,d16 | STA a16 | INX SP | INR M | DCR M | MVI M,d8 | STC  | LDSI d8 | DAD SP | LDA a16 | DCX SP | INR A | DCR A | MVI A,d8 | CMC  |</v>
      </c>
    </row>
    <row r="326" spans="1:1" x14ac:dyDescent="0.2">
      <c r="A326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MOV B,B | MOV B,C | MOV B,D | MOV B,E | MOV B,H | MOV B,L | MOV B,M | MOV B,A | MOV C,B | MOV C,C | MOV C,D | MOV C,E | MOV C,H | MOV C,L | MOV C,M | MOV C,A |</v>
      </c>
    </row>
    <row r="327" spans="1:1" x14ac:dyDescent="0.2">
      <c r="A327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MOV D,B | MOV D,C | MOV D,D | MOV D,E | MOV D,H | MOV D,L | MOV D,M | MOV D,A | MOV E,B | MOV E,C | MOV E,D | MOV E,E | MOV E,H | MOV E,L | MOV E,M | MOV E,A |</v>
      </c>
    </row>
    <row r="328" spans="1:1" x14ac:dyDescent="0.2">
      <c r="A328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MOV H,B | MOV H,C | MOV H,D | MOV H,E | MOV H,H | MOV H,L | MOV H,M | MOV H,A | MOV L,B | MOV L,C | MOV L,D | MOV L,E | MOV L,H | MOV L,L | MOV L,M | MOV L,A |</v>
      </c>
    </row>
    <row r="329" spans="1:1" x14ac:dyDescent="0.2">
      <c r="A329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MOV M,B | MOV M,C | MOV M,D | MOV M,E | MOV M,H | MOV M,L | HLT  | MOV M,A | MOV A,B | MOV A,C | MOV A,D | MOV A,E | MOV A,H | MOV A,L | MOV A,M | MOV A,A |</v>
      </c>
    </row>
    <row r="330" spans="1:1" x14ac:dyDescent="0.2">
      <c r="A330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ADD B | ADD C | ADD D | ADD E | ADD H | ADD L | ADD M | ADD A | ADC B | ADC C | ADC D | ADC E | ADC H | ADC L | ADC M | ADC A |</v>
      </c>
    </row>
    <row r="331" spans="1:1" x14ac:dyDescent="0.2">
      <c r="A331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SUB B | SUB C | SUB D | SUB E | SUB H | SUB L | SUB M | SUB A | SBB B | SBB C | SBB D | SBB E | SBB H | SBB L | SBB M | SBB A |</v>
      </c>
    </row>
    <row r="332" spans="1:1" x14ac:dyDescent="0.2">
      <c r="A332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ANA B | ANA C | ANA D | ANA E | ANA H | ANA L | ANA M | ANA A | XRA B | XRA C | XRA D | XRA E | XRA H | XRA L | XRA M | XRA A |</v>
      </c>
    </row>
    <row r="333" spans="1:1" x14ac:dyDescent="0.2">
      <c r="A333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ORA B | ORA C | ORA D | ORA E | ORA H | ORA L | ORA M | ORA A | CMP B | CMP C | CMP D | CMP E | CMP H | CMP L | CMP M | CMP A |</v>
      </c>
    </row>
    <row r="334" spans="1:1" x14ac:dyDescent="0.2">
      <c r="A334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RNZ  | POP B | JNZ a16 | JMP a16 | CNZ a16 | PUSH B | ADI d8 | RST 0 | RZ  | RET  | JZ a16 | RSTV  | CZ a16 | CALL a16 | ACI d8 | RST 1 |</v>
      </c>
    </row>
    <row r="335" spans="1:1" x14ac:dyDescent="0.2">
      <c r="A335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RNC  | POP D | JNC a16 | OUT d8 | CNC a16 | PUSH D | SUI d8 | RST 2 | RC  | SHLX  | JC a16 | IN d8 | CC a16 | JNK a16 | SBI d8 | RST 3 |</v>
      </c>
    </row>
    <row r="336" spans="1:1" x14ac:dyDescent="0.2">
      <c r="A336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RPO  | POP H | JPO a16 | XTHL  | CPO a16 | PUSH H | ANI d8 | RST 4 | RPE  | PCHL  | JPE a16 | XCHG  | CPE a16 | LHLX  | XRI d8 | RST 5 |</v>
      </c>
    </row>
    <row r="337" spans="1:1" x14ac:dyDescent="0.2">
      <c r="A337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RP  | POP PSW | JP a16 | DI  | CP a16 | PUSH PSW | ORI d8 | RST 6 | RM  | SPHL  | JM a16 | EI  | CM a16 | JK a16 | CPI d8 | RST 7 |</v>
      </c>
    </row>
    <row r="339" spans="1:1" x14ac:dyDescent="0.2">
      <c r="A339" s="5" t="s">
        <v>702</v>
      </c>
    </row>
    <row r="340" spans="1:1" x14ac:dyDescent="0.2">
      <c r="A340" s="5" t="s">
        <v>703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E0A2-9A6A-49FA-8CB4-1E8D7E96636C}">
  <sheetPr codeName="Sheet5"/>
  <dimension ref="A1:D257"/>
  <sheetViews>
    <sheetView workbookViewId="0"/>
  </sheetViews>
  <sheetFormatPr defaultRowHeight="15" x14ac:dyDescent="0.25"/>
  <cols>
    <col min="1" max="1" width="14.140625" style="19" bestFit="1" customWidth="1"/>
    <col min="2" max="2" width="33.85546875" style="20" bestFit="1" customWidth="1"/>
    <col min="3" max="3" width="45.140625" style="21" bestFit="1" customWidth="1"/>
    <col min="4" max="4" width="106" style="21" customWidth="1"/>
    <col min="5" max="16384" width="9.140625" style="19"/>
  </cols>
  <sheetData>
    <row r="1" spans="1:4" x14ac:dyDescent="0.25">
      <c r="A1" s="19" t="s">
        <v>704</v>
      </c>
    </row>
    <row r="2" spans="1:4" ht="56.25" x14ac:dyDescent="0.25">
      <c r="A2" s="19" t="str">
        <f>"op"&amp;"_"&amp;OpCode!B2&amp;ConvertFormat2(OpCode!C2)</f>
        <v>op_NOP</v>
      </c>
      <c r="B2" s="20" t="str">
        <f>"procedure TCPU_8085."&amp;$A2&amp;";"</f>
        <v>procedure TCPU_8085.op_NOP;</v>
      </c>
      <c r="C2" s="21" t="str">
        <f>$B2&amp;CHAR(10)&amp;ConvertCode(OpCode!K2,OpCode!I2,OpCode!G2,OpCode!H2)</f>
        <v>procedure TCPU_8085.op_NOP;
begin
  inc(cycles);
  inc(states, 4);
end;</v>
      </c>
      <c r="D2" s="21" t="str">
        <f>"with OpCodes[$"&amp;OpCode!A2&amp;"] do begin" &amp;
" code:= @"&amp;A2&amp;";"&amp;
" inst:= '"&amp;OpCode!B2&amp;"';"&amp;
" fmt:= '"&amp;OpCode!B2&amp;IF(OpCode!C2&lt;&gt;"","'+#9+'"&amp;convertFormat(OpCode!C2),"")&amp;"'"&amp;";"&amp;
" group:= Egroup."&amp;OpCode!D2&amp;";"&amp;
" mode:= Emode."&amp;OpCode!E2&amp;";"&amp;
" len:= "&amp;OpCode!F2&amp;";"&amp;
" cycle:= ["&amp;SUBSTITUTE(OpCode!G2,"|",",")&amp;"];"&amp;
" state:= ["&amp;SUBSTITUTE(OpCode!H2,"|",",")&amp;"];"&amp;
" end;"</f>
        <v>with OpCodes[$00] do begin code:= @op_NOP; inst:= 'NOP'; fmt:= 'NOP'; group:= Egroup.control; mode:= Emode.imp; len:= 1; cycle:= [1]; state:= [4]; end;</v>
      </c>
    </row>
    <row r="3" spans="1:4" ht="146.25" x14ac:dyDescent="0.25">
      <c r="A3" s="19" t="str">
        <f>"op"&amp;"_"&amp;OpCode!B3&amp;ConvertFormat2(OpCode!C3)</f>
        <v>op_LXI_B</v>
      </c>
      <c r="B3" s="20" t="str">
        <f t="shared" ref="B3:B66" si="0">"procedure TCPU_8085."&amp;$A3&amp;";"</f>
        <v>procedure TCPU_8085.op_LXI_B;</v>
      </c>
      <c r="C3" s="21" t="str">
        <f>$B3&amp;CHAR(10)&amp;ConvertCode(OpCode!K3,OpCode!I3,OpCode!G3,OpCode!H3)</f>
        <v>procedure TCPU_8085.op_LXI_B;
var 
  b1: iSize8;
  b2: iSize8;
begin
  b1:= ReadMem(PC);
  b2:= ReadMem(PC+1);
  PC:= (PC+2) and $FFFF;
  B:= b2;
  C:= b1;
  inc(cycles, 3);
  inc(states, 10);
end;</v>
      </c>
      <c r="D3" s="21" t="str">
        <f>"with OpCodes[$"&amp;OpCode!A3&amp;"] do begin" &amp;
" code:= @"&amp;A3&amp;";"&amp;
" inst:= '"&amp;OpCode!B3&amp;"';"&amp;
" fmt:= '"&amp;OpCode!B3&amp;IF(OpCode!C3&lt;&gt;"","'+#9+'"&amp;convertFormat(OpCode!C3),"")&amp;"'"&amp;";"&amp;
" group:= Egroup."&amp;OpCode!D3&amp;";"&amp;
" mode:= Emode."&amp;OpCode!E3&amp;";"&amp;
" len:= "&amp;OpCode!F3&amp;";"&amp;
" cycle:= ["&amp;SUBSTITUTE(OpCode!G3,"|",",")&amp;"];"&amp;
" state:= ["&amp;SUBSTITUTE(OpCode!H3,"|",",")&amp;"];"&amp;
" end;"</f>
        <v>with OpCodes[$01] do begin code:= @op_LXI_B; inst:= 'LXI'; fmt:= 'LXI'+#9+'B,%.4x'; group:= Egroup.data; mode:= Emode.imm; len:= 3; cycle:= [3]; state:= [10]; end;</v>
      </c>
    </row>
    <row r="4" spans="1:4" ht="101.25" x14ac:dyDescent="0.25">
      <c r="A4" s="19" t="str">
        <f>"op"&amp;"_"&amp;OpCode!B4&amp;ConvertFormat2(OpCode!C4)</f>
        <v>op_STAX_B</v>
      </c>
      <c r="B4" s="20" t="str">
        <f t="shared" si="0"/>
        <v>procedure TCPU_8085.op_STAX_B;</v>
      </c>
      <c r="C4" s="21" t="str">
        <f>$B4&amp;CHAR(10)&amp;ConvertCode(OpCode!K4,OpCode!I4,OpCode!G4,OpCode!H4)</f>
        <v>procedure TCPU_8085.op_STAX_B;
var 
  BC: iSize16;
begin
  BC:= B shl 8 + C;
  WriteMem(BC, A);
  inc(cycles, 2);
  inc(states, 7);
end;</v>
      </c>
      <c r="D4" s="21" t="str">
        <f>"with OpCodes[$"&amp;OpCode!A4&amp;"] do begin" &amp;
" code:= @"&amp;A4&amp;";"&amp;
" inst:= '"&amp;OpCode!B4&amp;"';"&amp;
" fmt:= '"&amp;OpCode!B4&amp;IF(OpCode!C4&lt;&gt;"","'+#9+'"&amp;convertFormat(OpCode!C4),"")&amp;"'"&amp;";"&amp;
" group:= Egroup."&amp;OpCode!D4&amp;";"&amp;
" mode:= Emode."&amp;OpCode!E4&amp;";"&amp;
" len:= "&amp;OpCode!F4&amp;";"&amp;
" cycle:= ["&amp;SUBSTITUTE(OpCode!G4,"|",",")&amp;"];"&amp;
" state:= ["&amp;SUBSTITUTE(OpCode!H4,"|",",")&amp;"];"&amp;
" end;"</f>
        <v>with OpCodes[$02] do begin code:= @op_STAX_B; inst:= 'STAX'; fmt:= 'STAX'+#9+'B'; group:= Egroup.data; mode:= Emode.ind_reg; len:= 1; cycle:= [2]; state:= [7]; end;</v>
      </c>
    </row>
    <row r="5" spans="1:4" ht="146.25" x14ac:dyDescent="0.25">
      <c r="A5" s="19" t="str">
        <f>"op"&amp;"_"&amp;OpCode!B5&amp;ConvertFormat2(OpCode!C5)</f>
        <v>op_INX_B</v>
      </c>
      <c r="B5" s="20" t="str">
        <f t="shared" si="0"/>
        <v>procedure TCPU_8085.op_INX_B;</v>
      </c>
      <c r="C5" s="21" t="str">
        <f>$B5&amp;CHAR(10)&amp;ConvertCode(OpCode!K5,OpCode!I5,OpCode!G5,OpCode!H5)</f>
        <v>procedure TCPU_8085.op_INX_B;
var 
  BC: iSize16;
begin
  BC:= B shl 8 + C;
  BC:= ((BC + 1) and $FFFF);
  F[EFlags.k]:= ?;
  BC:= B shl 8 + C;
  B:= (BC shr 8) and $FF;
  C:= BC and $FF;
  inc(cycles);
  inc(states, 6);
end;</v>
      </c>
      <c r="D5" s="21" t="str">
        <f>"with OpCodes[$"&amp;OpCode!A5&amp;"] do begin" &amp;
" code:= @"&amp;A5&amp;";"&amp;
" inst:= '"&amp;OpCode!B5&amp;"';"&amp;
" fmt:= '"&amp;OpCode!B5&amp;IF(OpCode!C5&lt;&gt;"","'+#9+'"&amp;convertFormat(OpCode!C5),"")&amp;"'"&amp;";"&amp;
" group:= Egroup."&amp;OpCode!D5&amp;";"&amp;
" mode:= Emode."&amp;OpCode!E5&amp;";"&amp;
" len:= "&amp;OpCode!F5&amp;";"&amp;
" cycle:= ["&amp;SUBSTITUTE(OpCode!G5,"|",",")&amp;"];"&amp;
" state:= ["&amp;SUBSTITUTE(OpCode!H5,"|",",")&amp;"];"&amp;
" end;"</f>
        <v>with OpCodes[$03] do begin code:= @op_INX_B; inst:= 'INX'; fmt:= 'INX'+#9+'B'; group:= Egroup.arith; mode:= Emode.reg; len:= 1; cycle:= [1]; state:= [6]; end;</v>
      </c>
    </row>
    <row r="6" spans="1:4" ht="135" x14ac:dyDescent="0.25">
      <c r="A6" s="19" t="str">
        <f>"op"&amp;"_"&amp;OpCode!B6&amp;ConvertFormat2(OpCode!C6)</f>
        <v>op_INR_B</v>
      </c>
      <c r="B6" s="20" t="str">
        <f t="shared" si="0"/>
        <v>procedure TCPU_8085.op_INR_B;</v>
      </c>
      <c r="C6" s="21" t="str">
        <f>$B6&amp;CHAR(10)&amp;ConvertCode(OpCode!K6,OpCode!I6,OpCode!G6,OpCode!H6)</f>
        <v>procedure TCPU_8085.op_INR_B;
begin
  B:= ((B + 1) and $FF);
  F[EFlags.k]:= ?;
  F[EFlags.v]:= ?;
  F[EFlags.z]:= B = 0;
  F[EFlags.p]:= parity_of_bits[B];
  F[EFlags.s]:= (B and $80) = $80;
  F[EFlags.hc]:= (B and $0F) = $0;  
  inc(cycles);
  inc(states, 4);
end;</v>
      </c>
      <c r="D6" s="21" t="str">
        <f>"with OpCodes[$"&amp;OpCode!A6&amp;"] do begin" &amp;
" code:= @"&amp;A6&amp;";"&amp;
" inst:= '"&amp;OpCode!B6&amp;"';"&amp;
" fmt:= '"&amp;OpCode!B6&amp;IF(OpCode!C6&lt;&gt;"","'+#9+'"&amp;convertFormat(OpCode!C6),"")&amp;"'"&amp;";"&amp;
" group:= Egroup."&amp;OpCode!D6&amp;";"&amp;
" mode:= Emode."&amp;OpCode!E6&amp;";"&amp;
" len:= "&amp;OpCode!F6&amp;";"&amp;
" cycle:= ["&amp;SUBSTITUTE(OpCode!G6,"|",",")&amp;"];"&amp;
" state:= ["&amp;SUBSTITUTE(OpCode!H6,"|",",")&amp;"];"&amp;
" end;"</f>
        <v>with OpCodes[$04] do begin code:= @op_INR_B; inst:= 'INR'; fmt:= 'INR'+#9+'B'; group:= Egroup.arith; mode:= Emode.reg; len:= 1; cycle:= [1]; state:= [4]; end;</v>
      </c>
    </row>
    <row r="7" spans="1:4" ht="123.75" x14ac:dyDescent="0.25">
      <c r="A7" s="19" t="str">
        <f>"op"&amp;"_"&amp;OpCode!B7&amp;ConvertFormat2(OpCode!C7)</f>
        <v>op_DCR_B</v>
      </c>
      <c r="B7" s="20" t="str">
        <f t="shared" si="0"/>
        <v>procedure TCPU_8085.op_DCR_B;</v>
      </c>
      <c r="C7" s="21" t="str">
        <f>$B7&amp;CHAR(10)&amp;ConvertCode(OpCode!K7,OpCode!I7,OpCode!G7,OpCode!H7)</f>
        <v>procedure TCPU_8085.op_DCR_B;
begin
  B:= ((B - 1) and $FF);
  F[EFlags.v]:= ?;
  F[EFlags.z]:= B = 0;
  F[EFlags.p]:= parity_of_bits[B];
  F[EFlags.s]:= (B and $80) = $80;
  F[EFlags.hc]:= (B and $0F) = $F;  
  inc(cycles);
  inc(states, 4);
end;</v>
      </c>
      <c r="D7" s="21" t="str">
        <f>"with OpCodes[$"&amp;OpCode!A7&amp;"] do begin" &amp;
" code:= @"&amp;A7&amp;";"&amp;
" inst:= '"&amp;OpCode!B7&amp;"';"&amp;
" fmt:= '"&amp;OpCode!B7&amp;IF(OpCode!C7&lt;&gt;"","'+#9+'"&amp;convertFormat(OpCode!C7),"")&amp;"'"&amp;";"&amp;
" group:= Egroup."&amp;OpCode!D7&amp;";"&amp;
" mode:= Emode."&amp;OpCode!E7&amp;";"&amp;
" len:= "&amp;OpCode!F7&amp;";"&amp;
" cycle:= ["&amp;SUBSTITUTE(OpCode!G7,"|",",")&amp;"];"&amp;
" state:= ["&amp;SUBSTITUTE(OpCode!H7,"|",",")&amp;"];"&amp;
" end;"</f>
        <v>with OpCodes[$05] do begin code:= @op_DCR_B; inst:= 'DCR'; fmt:= 'DCR'+#9+'B'; group:= Egroup.arith; mode:= Emode.reg; len:= 1; cycle:= [1]; state:= [4]; end;</v>
      </c>
    </row>
    <row r="8" spans="1:4" ht="112.5" x14ac:dyDescent="0.25">
      <c r="A8" s="19" t="str">
        <f>"op"&amp;"_"&amp;OpCode!B8&amp;ConvertFormat2(OpCode!C8)</f>
        <v>op_MVI_B</v>
      </c>
      <c r="B8" s="20" t="str">
        <f t="shared" si="0"/>
        <v>procedure TCPU_8085.op_MVI_B;</v>
      </c>
      <c r="C8" s="21" t="str">
        <f>$B8&amp;CHAR(10)&amp;ConvertCode(OpCode!K8,OpCode!I8,OpCode!G8,OpCode!H8)</f>
        <v>procedure TCPU_8085.op_MVI_B;
var 
  b1: iSize8;
begin
  b1:= ReadMem(PC);
  PC:= (PC+1) and $FFFF;
  B:= b1;
  inc(cycles, 2);
  inc(states, 7);
end;</v>
      </c>
      <c r="D8" s="21" t="str">
        <f>"with OpCodes[$"&amp;OpCode!A8&amp;"] do begin" &amp;
" code:= @"&amp;A8&amp;";"&amp;
" inst:= '"&amp;OpCode!B8&amp;"';"&amp;
" fmt:= '"&amp;OpCode!B8&amp;IF(OpCode!C8&lt;&gt;"","'+#9+'"&amp;convertFormat(OpCode!C8),"")&amp;"'"&amp;";"&amp;
" group:= Egroup."&amp;OpCode!D8&amp;";"&amp;
" mode:= Emode."&amp;OpCode!E8&amp;";"&amp;
" len:= "&amp;OpCode!F8&amp;";"&amp;
" cycle:= ["&amp;SUBSTITUTE(OpCode!G8,"|",",")&amp;"];"&amp;
" state:= ["&amp;SUBSTITUTE(OpCode!H8,"|",",")&amp;"];"&amp;
" end;"</f>
        <v>with OpCodes[$06] do begin code:= @op_MVI_B; inst:= 'MVI'; fmt:= 'MVI'+#9+'B,%.2x'; group:= Egroup.data; mode:= Emode.imm; len:= 2; cycle:= [2]; state:= [7]; end;</v>
      </c>
    </row>
    <row r="9" spans="1:4" ht="112.5" x14ac:dyDescent="0.25">
      <c r="A9" s="19" t="str">
        <f>"op"&amp;"_"&amp;OpCode!B9&amp;ConvertFormat2(OpCode!C9)</f>
        <v>op_RLC</v>
      </c>
      <c r="B9" s="20" t="str">
        <f t="shared" si="0"/>
        <v>procedure TCPU_8085.op_RLC;</v>
      </c>
      <c r="C9" s="21" t="str">
        <f>$B9&amp;CHAR(10)&amp;ConvertCode(OpCode!K9,OpCode!I9,OpCode!G9,OpCode!H9)</f>
        <v>procedure TCPU_8085.op_RLC;
begin
  A:= ((A  shl  1) and $FF);
  bit 0:= ((prev bit 7) and $FF);
  CY:= ((prev bit 7) and $FF);
  F[EFlags.v]:= ?;
  F[EFlags.cy]:= (CY and $100) = $100;  
  inc(cycles);
  inc(states, 4);
end;</v>
      </c>
      <c r="D9" s="21" t="str">
        <f>"with OpCodes[$"&amp;OpCode!A9&amp;"] do begin" &amp;
" code:= @"&amp;A9&amp;";"&amp;
" inst:= '"&amp;OpCode!B9&amp;"';"&amp;
" fmt:= '"&amp;OpCode!B9&amp;IF(OpCode!C9&lt;&gt;"","'+#9+'"&amp;convertFormat(OpCode!C9),"")&amp;"'"&amp;";"&amp;
" group:= Egroup."&amp;OpCode!D9&amp;";"&amp;
" mode:= Emode."&amp;OpCode!E9&amp;";"&amp;
" len:= "&amp;OpCode!F9&amp;";"&amp;
" cycle:= ["&amp;SUBSTITUTE(OpCode!G9,"|",",")&amp;"];"&amp;
" state:= ["&amp;SUBSTITUTE(OpCode!H9,"|",",")&amp;"];"&amp;
" end;"</f>
        <v>with OpCodes[$07] do begin code:= @op_RLC; inst:= 'RLC'; fmt:= 'RLC'; group:= Egroup.logic; mode:= Emode.imp; len:= 1; cycle:= [1]; state:= [4]; end;</v>
      </c>
    </row>
    <row r="10" spans="1:4" ht="225" x14ac:dyDescent="0.25">
      <c r="A10" s="19" t="str">
        <f>"op"&amp;"_"&amp;OpCode!B10&amp;ConvertFormat2(OpCode!C10)</f>
        <v>op_DSUB</v>
      </c>
      <c r="B10" s="20" t="str">
        <f t="shared" si="0"/>
        <v>procedure TCPU_8085.op_DSUB;</v>
      </c>
      <c r="C10" s="21" t="str">
        <f>$B10&amp;CHAR(10)&amp;ConvertCode(OpCode!K10,OpCode!I10,OpCode!G10,OpCode!H10)</f>
        <v>procedure TCPU_8085.op_DSUB;
var 
  BC: iSize16;
  HL: iSize16;
begin
  BC:= B shl 8 + C;
  HL:= H shl 8 + L;
  HL:= ((HL - BC) and $FFFF);
  F[EFlags.k]:= ?;
  F[EFlags.v]:= ?;
  F[EFlags.z]:= HL = 0;
  F[EFlags.p]:= parity_of_bits[HL];
  F[EFlags.s]:= (HL and $80) = $80;
  F[EFlags.hc]:= (HL and $0F) = $F;  
  F[EFlags.cy]:= (HL and $100) = $100;  
  H:= (HL shr 8) and $FF;
  L:= HL and $FF;
  inc(cycles, 3);
  inc(states, 10);
end;</v>
      </c>
      <c r="D10" s="21" t="str">
        <f>"with OpCodes[$"&amp;OpCode!A10&amp;"] do begin" &amp;
" code:= @"&amp;A10&amp;";"&amp;
" inst:= '"&amp;OpCode!B10&amp;"';"&amp;
" fmt:= '"&amp;OpCode!B10&amp;IF(OpCode!C10&lt;&gt;"","'+#9+'"&amp;convertFormat(OpCode!C10),"")&amp;"'"&amp;";"&amp;
" group:= Egroup."&amp;OpCode!D10&amp;";"&amp;
" mode:= Emode."&amp;OpCode!E10&amp;";"&amp;
" len:= "&amp;OpCode!F10&amp;";"&amp;
" cycle:= ["&amp;SUBSTITUTE(OpCode!G10,"|",",")&amp;"];"&amp;
" state:= ["&amp;SUBSTITUTE(OpCode!H10,"|",",")&amp;"];"&amp;
" end;"</f>
        <v>with OpCodes[$08] do begin code:= @op_DSUB; inst:= 'DSUB'; fmt:= 'DSUB'; group:= Egroup.arith; mode:= Emode.reg; len:= 1; cycle:= [3]; state:= [10]; end;</v>
      </c>
    </row>
    <row r="11" spans="1:4" ht="168.75" x14ac:dyDescent="0.25">
      <c r="A11" s="19" t="str">
        <f>"op"&amp;"_"&amp;OpCode!B11&amp;ConvertFormat2(OpCode!C11)</f>
        <v>op_DAD_B</v>
      </c>
      <c r="B11" s="20" t="str">
        <f t="shared" si="0"/>
        <v>procedure TCPU_8085.op_DAD_B;</v>
      </c>
      <c r="C11" s="21" t="str">
        <f>$B11&amp;CHAR(10)&amp;ConvertCode(OpCode!K11,OpCode!I11,OpCode!G11,OpCode!H11)</f>
        <v>procedure TCPU_8085.op_DAD_B;
var 
  BC: iSize16;
  HL: iSize16;
begin
  BC:= B shl 8 + C;
  HL:= H shl 8 + L;
  HL:= ((HL + BC) and $FFFF);
  F[EFlags.v]:= ?;
  F[EFlags.cy]:= (HL and $100) = $100;  
  H:= (HL shr 8) and $FF;
  L:= HL and $FF;
  inc(cycles, 3);
  inc(states, 10);
end;</v>
      </c>
      <c r="D11" s="21" t="str">
        <f>"with OpCodes[$"&amp;OpCode!A11&amp;"] do begin" &amp;
" code:= @"&amp;A11&amp;";"&amp;
" inst:= '"&amp;OpCode!B11&amp;"';"&amp;
" fmt:= '"&amp;OpCode!B11&amp;IF(OpCode!C11&lt;&gt;"","'+#9+'"&amp;convertFormat(OpCode!C11),"")&amp;"'"&amp;";"&amp;
" group:= Egroup."&amp;OpCode!D11&amp;";"&amp;
" mode:= Emode."&amp;OpCode!E11&amp;";"&amp;
" len:= "&amp;OpCode!F11&amp;";"&amp;
" cycle:= ["&amp;SUBSTITUTE(OpCode!G11,"|",",")&amp;"];"&amp;
" state:= ["&amp;SUBSTITUTE(OpCode!H11,"|",",")&amp;"];"&amp;
" end;"</f>
        <v>with OpCodes[$09] do begin code:= @op_DAD_B; inst:= 'DAD'; fmt:= 'DAD'+#9+'B'; group:= Egroup.arith; mode:= Emode.reg; len:= 1; cycle:= [3]; state:= [10]; end;</v>
      </c>
    </row>
    <row r="12" spans="1:4" ht="101.25" x14ac:dyDescent="0.25">
      <c r="A12" s="19" t="str">
        <f>"op"&amp;"_"&amp;OpCode!B12&amp;ConvertFormat2(OpCode!C12)</f>
        <v>op_LDAX_B</v>
      </c>
      <c r="B12" s="20" t="str">
        <f t="shared" si="0"/>
        <v>procedure TCPU_8085.op_LDAX_B;</v>
      </c>
      <c r="C12" s="21" t="str">
        <f>$B12&amp;CHAR(10)&amp;ConvertCode(OpCode!K12,OpCode!I12,OpCode!G12,OpCode!H12)</f>
        <v>procedure TCPU_8085.op_LDAX_B;
var 
  BC: iSize16;
begin
  BC:= B shl 8 + C;
  A:= ReadMem(BC);
  inc(cycles, 2);
  inc(states, 7);
end;</v>
      </c>
      <c r="D12" s="21" t="str">
        <f>"with OpCodes[$"&amp;OpCode!A12&amp;"] do begin" &amp;
" code:= @"&amp;A12&amp;";"&amp;
" inst:= '"&amp;OpCode!B12&amp;"';"&amp;
" fmt:= '"&amp;OpCode!B12&amp;IF(OpCode!C12&lt;&gt;"","'+#9+'"&amp;convertFormat(OpCode!C12),"")&amp;"'"&amp;";"&amp;
" group:= Egroup."&amp;OpCode!D12&amp;";"&amp;
" mode:= Emode."&amp;OpCode!E12&amp;";"&amp;
" len:= "&amp;OpCode!F12&amp;";"&amp;
" cycle:= ["&amp;SUBSTITUTE(OpCode!G12,"|",",")&amp;"];"&amp;
" state:= ["&amp;SUBSTITUTE(OpCode!H12,"|",",")&amp;"];"&amp;
" end;"</f>
        <v>with OpCodes[$0A] do begin code:= @op_LDAX_B; inst:= 'LDAX'; fmt:= 'LDAX'+#9+'B'; group:= Egroup.data; mode:= Emode.ind_reg; len:= 1; cycle:= [2]; state:= [7]; end;</v>
      </c>
    </row>
    <row r="13" spans="1:4" ht="146.25" x14ac:dyDescent="0.25">
      <c r="A13" s="19" t="str">
        <f>"op"&amp;"_"&amp;OpCode!B13&amp;ConvertFormat2(OpCode!C13)</f>
        <v>op_DCX_B</v>
      </c>
      <c r="B13" s="20" t="str">
        <f t="shared" si="0"/>
        <v>procedure TCPU_8085.op_DCX_B;</v>
      </c>
      <c r="C13" s="21" t="str">
        <f>$B13&amp;CHAR(10)&amp;ConvertCode(OpCode!K13,OpCode!I13,OpCode!G13,OpCode!H13)</f>
        <v>procedure TCPU_8085.op_DCX_B;
var 
  BC: iSize16;
begin
  BC:= B shl 8 + C;
  BC:= ((BC - 1) and $FFFF);
  F[EFlags.k]:= ?;
  BC:= B shl 8 + C;
  B:= (BC shr 8) and $FF;
  C:= BC and $FF;
  inc(cycles);
  inc(states, 6);
end;</v>
      </c>
      <c r="D13" s="21" t="str">
        <f>"with OpCodes[$"&amp;OpCode!A13&amp;"] do begin" &amp;
" code:= @"&amp;A13&amp;";"&amp;
" inst:= '"&amp;OpCode!B13&amp;"';"&amp;
" fmt:= '"&amp;OpCode!B13&amp;IF(OpCode!C13&lt;&gt;"","'+#9+'"&amp;convertFormat(OpCode!C13),"")&amp;"'"&amp;";"&amp;
" group:= Egroup."&amp;OpCode!D13&amp;";"&amp;
" mode:= Emode."&amp;OpCode!E13&amp;";"&amp;
" len:= "&amp;OpCode!F13&amp;";"&amp;
" cycle:= ["&amp;SUBSTITUTE(OpCode!G13,"|",",")&amp;"];"&amp;
" state:= ["&amp;SUBSTITUTE(OpCode!H13,"|",",")&amp;"];"&amp;
" end;"</f>
        <v>with OpCodes[$0B] do begin code:= @op_DCX_B; inst:= 'DCX'; fmt:= 'DCX'+#9+'B'; group:= Egroup.arith; mode:= Emode.reg; len:= 1; cycle:= [1]; state:= [6]; end;</v>
      </c>
    </row>
    <row r="14" spans="1:4" ht="135" x14ac:dyDescent="0.25">
      <c r="A14" s="19" t="str">
        <f>"op"&amp;"_"&amp;OpCode!B14&amp;ConvertFormat2(OpCode!C14)</f>
        <v>op_INR_C</v>
      </c>
      <c r="B14" s="20" t="str">
        <f t="shared" si="0"/>
        <v>procedure TCPU_8085.op_INR_C;</v>
      </c>
      <c r="C14" s="21" t="str">
        <f>$B14&amp;CHAR(10)&amp;ConvertCode(OpCode!K14,OpCode!I14,OpCode!G14,OpCode!H14)</f>
        <v>procedure TCPU_8085.op_INR_C;
begin
  C:= ((C + 1) and $FF);
  F[EFlags.k]:= ?;
  F[EFlags.v]:= ?;
  F[EFlags.z]:= C = 0;
  F[EFlags.p]:= parity_of_bits[C];
  F[EFlags.s]:= (C and $80) = $80;
  F[EFlags.hc]:= (C and $0F) = $0;  
  inc(cycles);
  inc(states, 4);
end;</v>
      </c>
      <c r="D14" s="21" t="str">
        <f>"with OpCodes[$"&amp;OpCode!A14&amp;"] do begin" &amp;
" code:= @"&amp;A14&amp;";"&amp;
" inst:= '"&amp;OpCode!B14&amp;"';"&amp;
" fmt:= '"&amp;OpCode!B14&amp;IF(OpCode!C14&lt;&gt;"","'+#9+'"&amp;convertFormat(OpCode!C14),"")&amp;"'"&amp;";"&amp;
" group:= Egroup."&amp;OpCode!D14&amp;";"&amp;
" mode:= Emode."&amp;OpCode!E14&amp;";"&amp;
" len:= "&amp;OpCode!F14&amp;";"&amp;
" cycle:= ["&amp;SUBSTITUTE(OpCode!G14,"|",",")&amp;"];"&amp;
" state:= ["&amp;SUBSTITUTE(OpCode!H14,"|",",")&amp;"];"&amp;
" end;"</f>
        <v>with OpCodes[$0C] do begin code:= @op_INR_C; inst:= 'INR'; fmt:= 'INR'+#9+'C'; group:= Egroup.arith; mode:= Emode.reg; len:= 1; cycle:= [1]; state:= [4]; end;</v>
      </c>
    </row>
    <row r="15" spans="1:4" ht="123.75" x14ac:dyDescent="0.25">
      <c r="A15" s="19" t="str">
        <f>"op"&amp;"_"&amp;OpCode!B15&amp;ConvertFormat2(OpCode!C15)</f>
        <v>op_DCR_C</v>
      </c>
      <c r="B15" s="20" t="str">
        <f t="shared" si="0"/>
        <v>procedure TCPU_8085.op_DCR_C;</v>
      </c>
      <c r="C15" s="21" t="str">
        <f>$B15&amp;CHAR(10)&amp;ConvertCode(OpCode!K15,OpCode!I15,OpCode!G15,OpCode!H15)</f>
        <v>procedure TCPU_8085.op_DCR_C;
begin
  C:= ((C - 1) and $FF);
  F[EFlags.v]:= ?;
  F[EFlags.z]:= C = 0;
  F[EFlags.p]:= parity_of_bits[C];
  F[EFlags.s]:= (C and $80) = $80;
  F[EFlags.hc]:= (C and $0F) = $F;  
  inc(cycles);
  inc(states, 4);
end;</v>
      </c>
      <c r="D15" s="21" t="str">
        <f>"with OpCodes[$"&amp;OpCode!A15&amp;"] do begin" &amp;
" code:= @"&amp;A15&amp;";"&amp;
" inst:= '"&amp;OpCode!B15&amp;"';"&amp;
" fmt:= '"&amp;OpCode!B15&amp;IF(OpCode!C15&lt;&gt;"","'+#9+'"&amp;convertFormat(OpCode!C15),"")&amp;"'"&amp;";"&amp;
" group:= Egroup."&amp;OpCode!D15&amp;";"&amp;
" mode:= Emode."&amp;OpCode!E15&amp;";"&amp;
" len:= "&amp;OpCode!F15&amp;";"&amp;
" cycle:= ["&amp;SUBSTITUTE(OpCode!G15,"|",",")&amp;"];"&amp;
" state:= ["&amp;SUBSTITUTE(OpCode!H15,"|",",")&amp;"];"&amp;
" end;"</f>
        <v>with OpCodes[$0D] do begin code:= @op_DCR_C; inst:= 'DCR'; fmt:= 'DCR'+#9+'C'; group:= Egroup.arith; mode:= Emode.reg; len:= 1; cycle:= [1]; state:= [4]; end;</v>
      </c>
    </row>
    <row r="16" spans="1:4" ht="112.5" x14ac:dyDescent="0.25">
      <c r="A16" s="19" t="str">
        <f>"op"&amp;"_"&amp;OpCode!B16&amp;ConvertFormat2(OpCode!C16)</f>
        <v>op_MVI_C</v>
      </c>
      <c r="B16" s="20" t="str">
        <f t="shared" si="0"/>
        <v>procedure TCPU_8085.op_MVI_C;</v>
      </c>
      <c r="C16" s="21" t="str">
        <f>$B16&amp;CHAR(10)&amp;ConvertCode(OpCode!K16,OpCode!I16,OpCode!G16,OpCode!H16)</f>
        <v>procedure TCPU_8085.op_MVI_C;
var 
  b1: iSize8;
begin
  b1:= ReadMem(PC);
  PC:= (PC+1) and $FFFF;
  C:= b1;
  inc(cycles, 2);
  inc(states, 7);
end;</v>
      </c>
      <c r="D16" s="21" t="str">
        <f>"with OpCodes[$"&amp;OpCode!A16&amp;"] do begin" &amp;
" code:= @"&amp;A16&amp;";"&amp;
" inst:= '"&amp;OpCode!B16&amp;"';"&amp;
" fmt:= '"&amp;OpCode!B16&amp;IF(OpCode!C16&lt;&gt;"","'+#9+'"&amp;convertFormat(OpCode!C16),"")&amp;"'"&amp;";"&amp;
" group:= Egroup."&amp;OpCode!D16&amp;";"&amp;
" mode:= Emode."&amp;OpCode!E16&amp;";"&amp;
" len:= "&amp;OpCode!F16&amp;";"&amp;
" cycle:= ["&amp;SUBSTITUTE(OpCode!G16,"|",",")&amp;"];"&amp;
" state:= ["&amp;SUBSTITUTE(OpCode!H16,"|",",")&amp;"];"&amp;
" end;"</f>
        <v>with OpCodes[$0E] do begin code:= @op_MVI_C; inst:= 'MVI'; fmt:= 'MVI'+#9+'C,%.2x'; group:= Egroup.data; mode:= Emode.imm; len:= 2; cycle:= [2]; state:= [7]; end;</v>
      </c>
    </row>
    <row r="17" spans="1:4" ht="112.5" x14ac:dyDescent="0.25">
      <c r="A17" s="19" t="str">
        <f>"op"&amp;"_"&amp;OpCode!B17&amp;ConvertFormat2(OpCode!C17)</f>
        <v>op_RRC</v>
      </c>
      <c r="B17" s="20" t="str">
        <f t="shared" si="0"/>
        <v>procedure TCPU_8085.op_RRC;</v>
      </c>
      <c r="C17" s="21" t="str">
        <f>$B17&amp;CHAR(10)&amp;ConvertCode(OpCode!K17,OpCode!I17,OpCode!G17,OpCode!H17)</f>
        <v>procedure TCPU_8085.op_RRC;
begin
  A:= ((A  shr  1) and $FF);
  bit 7:= ((prev bit 0) and $FF);
  CY:= ((prev bit 0) and $FF);
  F[EFlags.cy]:= (CY and $100) = $100;  
  F[EFlags.v]:= false;
  inc(cycles);
  inc(states, 4);
end;</v>
      </c>
      <c r="D17" s="21" t="str">
        <f>"with OpCodes[$"&amp;OpCode!A17&amp;"] do begin" &amp;
" code:= @"&amp;A17&amp;";"&amp;
" inst:= '"&amp;OpCode!B17&amp;"';"&amp;
" fmt:= '"&amp;OpCode!B17&amp;IF(OpCode!C17&lt;&gt;"","'+#9+'"&amp;convertFormat(OpCode!C17),"")&amp;"'"&amp;";"&amp;
" group:= Egroup."&amp;OpCode!D17&amp;";"&amp;
" mode:= Emode."&amp;OpCode!E17&amp;";"&amp;
" len:= "&amp;OpCode!F17&amp;";"&amp;
" cycle:= ["&amp;SUBSTITUTE(OpCode!G17,"|",",")&amp;"];"&amp;
" state:= ["&amp;SUBSTITUTE(OpCode!H17,"|",",")&amp;"];"&amp;
" end;"</f>
        <v>with OpCodes[$0F] do begin code:= @op_RRC; inst:= 'RRC'; fmt:= 'RRC'; group:= Egroup.logic; mode:= Emode.imp; len:= 1; cycle:= [1]; state:= [4]; end;</v>
      </c>
    </row>
    <row r="18" spans="1:4" ht="157.5" x14ac:dyDescent="0.25">
      <c r="A18" s="19" t="str">
        <f>"op"&amp;"_"&amp;OpCode!B18&amp;ConvertFormat2(OpCode!C18)</f>
        <v>op_ARHL</v>
      </c>
      <c r="B18" s="20" t="str">
        <f t="shared" si="0"/>
        <v>procedure TCPU_8085.op_ARHL;</v>
      </c>
      <c r="C18" s="21" t="str">
        <f>$B18&amp;CHAR(10)&amp;ConvertCode(OpCode!K18,OpCode!I18,OpCode!G18,OpCode!H18)</f>
        <v>procedure TCPU_8085.op_ARHL;
var 
  HL: iSize16;
begin
  HL:= H shl 8 + L;
  Cy:= ((H7) and $FF);
  HL:= ((HL  shr  1) and $FFFF);
  H7:= ((Cy) and $FFFF);
  F[EFlags.cy]:= (H7 and $100) = $100;  
  H:= (HL shr 8) and $FF;
  L:= HL and $FF;
  inc(cycles, 2);
  inc(states, 7);
end;</v>
      </c>
      <c r="D18" s="21" t="str">
        <f>"with OpCodes[$"&amp;OpCode!A18&amp;"] do begin" &amp;
" code:= @"&amp;A18&amp;";"&amp;
" inst:= '"&amp;OpCode!B18&amp;"';"&amp;
" fmt:= '"&amp;OpCode!B18&amp;IF(OpCode!C18&lt;&gt;"","'+#9+'"&amp;convertFormat(OpCode!C18),"")&amp;"'"&amp;";"&amp;
" group:= Egroup."&amp;OpCode!D18&amp;";"&amp;
" mode:= Emode."&amp;OpCode!E18&amp;";"&amp;
" len:= "&amp;OpCode!F18&amp;";"&amp;
" cycle:= ["&amp;SUBSTITUTE(OpCode!G18,"|",",")&amp;"];"&amp;
" state:= ["&amp;SUBSTITUTE(OpCode!H18,"|",",")&amp;"];"&amp;
" end;"</f>
        <v>with OpCodes[$10] do begin code:= @op_ARHL; inst:= 'ARHL'; fmt:= 'ARHL'; group:= Egroup.logic; mode:= Emode.reg; len:= 1; cycle:= [2]; state:= [7]; end;</v>
      </c>
    </row>
    <row r="19" spans="1:4" ht="146.25" x14ac:dyDescent="0.25">
      <c r="A19" s="19" t="str">
        <f>"op"&amp;"_"&amp;OpCode!B19&amp;ConvertFormat2(OpCode!C19)</f>
        <v>op_LXI_D</v>
      </c>
      <c r="B19" s="20" t="str">
        <f t="shared" si="0"/>
        <v>procedure TCPU_8085.op_LXI_D;</v>
      </c>
      <c r="C19" s="21" t="str">
        <f>$B19&amp;CHAR(10)&amp;ConvertCode(OpCode!K19,OpCode!I19,OpCode!G19,OpCode!H19)</f>
        <v>procedure TCPU_8085.op_LXI_D;
var 
  b1: iSize8;
  b2: iSize8;
begin
  b1:= ReadMem(PC);
  b2:= ReadMem(PC+1);
  PC:= (PC+2) and $FFFF;
  D:= b2;
  E:= b1;
  inc(cycles, 3);
  inc(states, 10);
end;</v>
      </c>
      <c r="D19" s="21" t="str">
        <f>"with OpCodes[$"&amp;OpCode!A19&amp;"] do begin" &amp;
" code:= @"&amp;A19&amp;";"&amp;
" inst:= '"&amp;OpCode!B19&amp;"';"&amp;
" fmt:= '"&amp;OpCode!B19&amp;IF(OpCode!C19&lt;&gt;"","'+#9+'"&amp;convertFormat(OpCode!C19),"")&amp;"'"&amp;";"&amp;
" group:= Egroup."&amp;OpCode!D19&amp;";"&amp;
" mode:= Emode."&amp;OpCode!E19&amp;";"&amp;
" len:= "&amp;OpCode!F19&amp;";"&amp;
" cycle:= ["&amp;SUBSTITUTE(OpCode!G19,"|",",")&amp;"];"&amp;
" state:= ["&amp;SUBSTITUTE(OpCode!H19,"|",",")&amp;"];"&amp;
" end;"</f>
        <v>with OpCodes[$11] do begin code:= @op_LXI_D; inst:= 'LXI'; fmt:= 'LXI'+#9+'D,%.4x'; group:= Egroup.data; mode:= Emode.imm; len:= 3; cycle:= [3]; state:= [10]; end;</v>
      </c>
    </row>
    <row r="20" spans="1:4" ht="101.25" x14ac:dyDescent="0.25">
      <c r="A20" s="19" t="str">
        <f>"op"&amp;"_"&amp;OpCode!B20&amp;ConvertFormat2(OpCode!C20)</f>
        <v>op_STAX_D</v>
      </c>
      <c r="B20" s="20" t="str">
        <f t="shared" si="0"/>
        <v>procedure TCPU_8085.op_STAX_D;</v>
      </c>
      <c r="C20" s="21" t="str">
        <f>$B20&amp;CHAR(10)&amp;ConvertCode(OpCode!K20,OpCode!I20,OpCode!G20,OpCode!H20)</f>
        <v>procedure TCPU_8085.op_STAX_D;
var 
  DE: iSize16;
begin
  DE:= D shl 8 + E;
  WriteMem(DE, A);
  inc(cycles, 2);
  inc(states, 7);
end;</v>
      </c>
      <c r="D20" s="21" t="str">
        <f>"with OpCodes[$"&amp;OpCode!A20&amp;"] do begin" &amp;
" code:= @"&amp;A20&amp;";"&amp;
" inst:= '"&amp;OpCode!B20&amp;"';"&amp;
" fmt:= '"&amp;OpCode!B20&amp;IF(OpCode!C20&lt;&gt;"","'+#9+'"&amp;convertFormat(OpCode!C20),"")&amp;"'"&amp;";"&amp;
" group:= Egroup."&amp;OpCode!D20&amp;";"&amp;
" mode:= Emode."&amp;OpCode!E20&amp;";"&amp;
" len:= "&amp;OpCode!F20&amp;";"&amp;
" cycle:= ["&amp;SUBSTITUTE(OpCode!G20,"|",",")&amp;"];"&amp;
" state:= ["&amp;SUBSTITUTE(OpCode!H20,"|",",")&amp;"];"&amp;
" end;"</f>
        <v>with OpCodes[$12] do begin code:= @op_STAX_D; inst:= 'STAX'; fmt:= 'STAX'+#9+'D'; group:= Egroup.data; mode:= Emode.ind_reg; len:= 1; cycle:= [2]; state:= [7]; end;</v>
      </c>
    </row>
    <row r="21" spans="1:4" ht="135" x14ac:dyDescent="0.25">
      <c r="A21" s="19" t="str">
        <f>"op"&amp;"_"&amp;OpCode!B21&amp;ConvertFormat2(OpCode!C21)</f>
        <v>op_INX_D</v>
      </c>
      <c r="B21" s="20" t="str">
        <f t="shared" si="0"/>
        <v>procedure TCPU_8085.op_INX_D;</v>
      </c>
      <c r="C21" s="21" t="str">
        <f>$B21&amp;CHAR(10)&amp;ConvertCode(OpCode!K21,OpCode!I21,OpCode!G21,OpCode!H21)</f>
        <v>procedure TCPU_8085.op_INX_D;
var 
  DE: iSize16;
begin
  DE:= D shl 8 + E;
  DE:= ((DE + 1) and $FFFF);
  F[EFlags.k]:= ?;
  D:= (DE shr 8) and $FF;
  E:= DE and $FF;
  inc(cycles);
  inc(states, 6);
end;</v>
      </c>
      <c r="D21" s="21" t="str">
        <f>"with OpCodes[$"&amp;OpCode!A21&amp;"] do begin" &amp;
" code:= @"&amp;A21&amp;";"&amp;
" inst:= '"&amp;OpCode!B21&amp;"';"&amp;
" fmt:= '"&amp;OpCode!B21&amp;IF(OpCode!C21&lt;&gt;"","'+#9+'"&amp;convertFormat(OpCode!C21),"")&amp;"'"&amp;";"&amp;
" group:= Egroup."&amp;OpCode!D21&amp;";"&amp;
" mode:= Emode."&amp;OpCode!E21&amp;";"&amp;
" len:= "&amp;OpCode!F21&amp;";"&amp;
" cycle:= ["&amp;SUBSTITUTE(OpCode!G21,"|",",")&amp;"];"&amp;
" state:= ["&amp;SUBSTITUTE(OpCode!H21,"|",",")&amp;"];"&amp;
" end;"</f>
        <v>with OpCodes[$13] do begin code:= @op_INX_D; inst:= 'INX'; fmt:= 'INX'+#9+'D'; group:= Egroup.arith; mode:= Emode.reg; len:= 1; cycle:= [1]; state:= [6]; end;</v>
      </c>
    </row>
    <row r="22" spans="1:4" ht="135" x14ac:dyDescent="0.25">
      <c r="A22" s="19" t="str">
        <f>"op"&amp;"_"&amp;OpCode!B22&amp;ConvertFormat2(OpCode!C22)</f>
        <v>op_INR_D</v>
      </c>
      <c r="B22" s="20" t="str">
        <f t="shared" si="0"/>
        <v>procedure TCPU_8085.op_INR_D;</v>
      </c>
      <c r="C22" s="21" t="str">
        <f>$B22&amp;CHAR(10)&amp;ConvertCode(OpCode!K22,OpCode!I22,OpCode!G22,OpCode!H22)</f>
        <v>procedure TCPU_8085.op_INR_D;
begin
  D:= ((D + 1) and $FF);
  F[EFlags.k]:= ?;
  F[EFlags.v]:= ?;
  F[EFlags.z]:= D = 0;
  F[EFlags.p]:= parity_of_bits[D];
  F[EFlags.s]:= (D and $80) = $80;
  F[EFlags.hc]:= (D and $0F) = $0;  
  inc(cycles);
  inc(states, 4);
end;</v>
      </c>
      <c r="D22" s="21" t="str">
        <f>"with OpCodes[$"&amp;OpCode!A22&amp;"] do begin" &amp;
" code:= @"&amp;A22&amp;";"&amp;
" inst:= '"&amp;OpCode!B22&amp;"';"&amp;
" fmt:= '"&amp;OpCode!B22&amp;IF(OpCode!C22&lt;&gt;"","'+#9+'"&amp;convertFormat(OpCode!C22),"")&amp;"'"&amp;";"&amp;
" group:= Egroup."&amp;OpCode!D22&amp;";"&amp;
" mode:= Emode."&amp;OpCode!E22&amp;";"&amp;
" len:= "&amp;OpCode!F22&amp;";"&amp;
" cycle:= ["&amp;SUBSTITUTE(OpCode!G22,"|",",")&amp;"];"&amp;
" state:= ["&amp;SUBSTITUTE(OpCode!H22,"|",",")&amp;"];"&amp;
" end;"</f>
        <v>with OpCodes[$14] do begin code:= @op_INR_D; inst:= 'INR'; fmt:= 'INR'+#9+'D'; group:= Egroup.arith; mode:= Emode.reg; len:= 1; cycle:= [1]; state:= [4]; end;</v>
      </c>
    </row>
    <row r="23" spans="1:4" ht="123.75" x14ac:dyDescent="0.25">
      <c r="A23" s="19" t="str">
        <f>"op"&amp;"_"&amp;OpCode!B23&amp;ConvertFormat2(OpCode!C23)</f>
        <v>op_DCR_D</v>
      </c>
      <c r="B23" s="20" t="str">
        <f t="shared" si="0"/>
        <v>procedure TCPU_8085.op_DCR_D;</v>
      </c>
      <c r="C23" s="21" t="str">
        <f>$B23&amp;CHAR(10)&amp;ConvertCode(OpCode!K23,OpCode!I23,OpCode!G23,OpCode!H23)</f>
        <v>procedure TCPU_8085.op_DCR_D;
begin
  D:= ((D - 1) and $FF);
  F[EFlags.v]:= ?;
  F[EFlags.z]:= D = 0;
  F[EFlags.p]:= parity_of_bits[D];
  F[EFlags.s]:= (D and $80) = $80;
  F[EFlags.hc]:= (D and $0F) = $F;  
  inc(cycles);
  inc(states, 4);
end;</v>
      </c>
      <c r="D23" s="21" t="str">
        <f>"with OpCodes[$"&amp;OpCode!A23&amp;"] do begin" &amp;
" code:= @"&amp;A23&amp;";"&amp;
" inst:= '"&amp;OpCode!B23&amp;"';"&amp;
" fmt:= '"&amp;OpCode!B23&amp;IF(OpCode!C23&lt;&gt;"","'+#9+'"&amp;convertFormat(OpCode!C23),"")&amp;"'"&amp;";"&amp;
" group:= Egroup."&amp;OpCode!D23&amp;";"&amp;
" mode:= Emode."&amp;OpCode!E23&amp;";"&amp;
" len:= "&amp;OpCode!F23&amp;";"&amp;
" cycle:= ["&amp;SUBSTITUTE(OpCode!G23,"|",",")&amp;"];"&amp;
" state:= ["&amp;SUBSTITUTE(OpCode!H23,"|",",")&amp;"];"&amp;
" end;"</f>
        <v>with OpCodes[$15] do begin code:= @op_DCR_D; inst:= 'DCR'; fmt:= 'DCR'+#9+'D'; group:= Egroup.arith; mode:= Emode.reg; len:= 1; cycle:= [1]; state:= [4]; end;</v>
      </c>
    </row>
    <row r="24" spans="1:4" ht="112.5" x14ac:dyDescent="0.25">
      <c r="A24" s="19" t="str">
        <f>"op"&amp;"_"&amp;OpCode!B24&amp;ConvertFormat2(OpCode!C24)</f>
        <v>op_MVI_D</v>
      </c>
      <c r="B24" s="20" t="str">
        <f t="shared" si="0"/>
        <v>procedure TCPU_8085.op_MVI_D;</v>
      </c>
      <c r="C24" s="21" t="str">
        <f>$B24&amp;CHAR(10)&amp;ConvertCode(OpCode!K24,OpCode!I24,OpCode!G24,OpCode!H24)</f>
        <v>procedure TCPU_8085.op_MVI_D;
var 
  b1: iSize8;
begin
  b1:= ReadMem(PC);
  PC:= (PC+1) and $FFFF;
  D:= b1;
  inc(cycles, 2);
  inc(states, 7);
end;</v>
      </c>
      <c r="D24" s="21" t="str">
        <f>"with OpCodes[$"&amp;OpCode!A24&amp;"] do begin" &amp;
" code:= @"&amp;A24&amp;";"&amp;
" inst:= '"&amp;OpCode!B24&amp;"';"&amp;
" fmt:= '"&amp;OpCode!B24&amp;IF(OpCode!C24&lt;&gt;"","'+#9+'"&amp;convertFormat(OpCode!C24),"")&amp;"'"&amp;";"&amp;
" group:= Egroup."&amp;OpCode!D24&amp;";"&amp;
" mode:= Emode."&amp;OpCode!E24&amp;";"&amp;
" len:= "&amp;OpCode!F24&amp;";"&amp;
" cycle:= ["&amp;SUBSTITUTE(OpCode!G24,"|",",")&amp;"];"&amp;
" state:= ["&amp;SUBSTITUTE(OpCode!H24,"|",",")&amp;"];"&amp;
" end;"</f>
        <v>with OpCodes[$16] do begin code:= @op_MVI_D; inst:= 'MVI'; fmt:= 'MVI'+#9+'D,%.2x'; group:= Egroup.data; mode:= Emode.imm; len:= 2; cycle:= [2]; state:= [7]; end;</v>
      </c>
    </row>
    <row r="25" spans="1:4" ht="112.5" x14ac:dyDescent="0.25">
      <c r="A25" s="19" t="str">
        <f>"op"&amp;"_"&amp;OpCode!B25&amp;ConvertFormat2(OpCode!C25)</f>
        <v>op_RAL</v>
      </c>
      <c r="B25" s="20" t="str">
        <f t="shared" si="0"/>
        <v>procedure TCPU_8085.op_RAL;</v>
      </c>
      <c r="C25" s="21" t="str">
        <f>$B25&amp;CHAR(10)&amp;ConvertCode(OpCode!K25,OpCode!I25,OpCode!G25,OpCode!H25)</f>
        <v>procedure TCPU_8085.op_RAL;
begin
  A:= ((A  shl  1) and $FF);
  bit 0:= ((prev CY) and $FF);
  CY:= ((prev bit 7) and $FF);
  F[EFlags.v]:= ?;
  F[EFlags.cy]:= (CY and $100) = $100;  
  inc(cycles);
  inc(states, 4);
end;</v>
      </c>
      <c r="D25" s="21" t="str">
        <f>"with OpCodes[$"&amp;OpCode!A25&amp;"] do begin" &amp;
" code:= @"&amp;A25&amp;";"&amp;
" inst:= '"&amp;OpCode!B25&amp;"';"&amp;
" fmt:= '"&amp;OpCode!B25&amp;IF(OpCode!C25&lt;&gt;"","'+#9+'"&amp;convertFormat(OpCode!C25),"")&amp;"'"&amp;";"&amp;
" group:= Egroup."&amp;OpCode!D25&amp;";"&amp;
" mode:= Emode."&amp;OpCode!E25&amp;";"&amp;
" len:= "&amp;OpCode!F25&amp;";"&amp;
" cycle:= ["&amp;SUBSTITUTE(OpCode!G25,"|",",")&amp;"];"&amp;
" state:= ["&amp;SUBSTITUTE(OpCode!H25,"|",",")&amp;"];"&amp;
" end;"</f>
        <v>with OpCodes[$17] do begin code:= @op_RAL; inst:= 'RAL'; fmt:= 'RAL'; group:= Egroup.logic; mode:= Emode.imp; len:= 1; cycle:= [1]; state:= [4]; end;</v>
      </c>
    </row>
    <row r="26" spans="1:4" ht="168.75" x14ac:dyDescent="0.25">
      <c r="A26" s="19" t="str">
        <f>"op"&amp;"_"&amp;OpCode!B26&amp;ConvertFormat2(OpCode!C26)</f>
        <v>op_RDEL</v>
      </c>
      <c r="B26" s="20" t="str">
        <f t="shared" si="0"/>
        <v>procedure TCPU_8085.op_RDEL;</v>
      </c>
      <c r="C26" s="21" t="str">
        <f>$B26&amp;CHAR(10)&amp;ConvertCode(OpCode!K26,OpCode!I26,OpCode!G26,OpCode!H26)</f>
        <v>procedure TCPU_8085.op_RDEL;
var 
  DE: iSize16;
begin
  DE:= D shl 8 + E;
  Cy:= ((D7) and $FF);
  DE:= ((DE  shl  1) and $FFFF);
  E0:= ((0) and $FFFF);
  F[EFlags.v]:= ?;
  F[EFlags.cy]:= (E0 and $100) = $100;  
  D:= (DE shr 8) and $FF;
  E:= DE and $FF;
  inc(cycles, 3);
  inc(states, 10);
end;</v>
      </c>
      <c r="D26" s="21" t="str">
        <f>"with OpCodes[$"&amp;OpCode!A26&amp;"] do begin" &amp;
" code:= @"&amp;A26&amp;";"&amp;
" inst:= '"&amp;OpCode!B26&amp;"';"&amp;
" fmt:= '"&amp;OpCode!B26&amp;IF(OpCode!C26&lt;&gt;"","'+#9+'"&amp;convertFormat(OpCode!C26),"")&amp;"'"&amp;";"&amp;
" group:= Egroup."&amp;OpCode!D26&amp;";"&amp;
" mode:= Emode."&amp;OpCode!E26&amp;";"&amp;
" len:= "&amp;OpCode!F26&amp;";"&amp;
" cycle:= ["&amp;SUBSTITUTE(OpCode!G26,"|",",")&amp;"];"&amp;
" state:= ["&amp;SUBSTITUTE(OpCode!H26,"|",",")&amp;"];"&amp;
" end;"</f>
        <v>with OpCodes[$18] do begin code:= @op_RDEL; inst:= 'RDEL'; fmt:= 'RDEL'; group:= Egroup.logic; mode:= Emode.reg; len:= 1; cycle:= [3]; state:= [10]; end;</v>
      </c>
    </row>
    <row r="27" spans="1:4" ht="168.75" x14ac:dyDescent="0.25">
      <c r="A27" s="19" t="str">
        <f>"op"&amp;"_"&amp;OpCode!B27&amp;ConvertFormat2(OpCode!C27)</f>
        <v>op_DAD_D</v>
      </c>
      <c r="B27" s="20" t="str">
        <f t="shared" si="0"/>
        <v>procedure TCPU_8085.op_DAD_D;</v>
      </c>
      <c r="C27" s="21" t="str">
        <f>$B27&amp;CHAR(10)&amp;ConvertCode(OpCode!K27,OpCode!I27,OpCode!G27,OpCode!H27)</f>
        <v>procedure TCPU_8085.op_DAD_D;
var 
  DE: iSize16;
  HL: iSize16;
begin
  DE:= D shl 8 + E;
  HL:= H shl 8 + L;
  HL:= ((HL + DE) and $FFFF);
  F[EFlags.v]:= ?;
  F[EFlags.cy]:= (HL and $100) = $100;  
  H:= (HL shr 8) and $FF;
  L:= HL and $FF;
  inc(cycles, 3);
  inc(states, 10);
end;</v>
      </c>
      <c r="D27" s="21" t="str">
        <f>"with OpCodes[$"&amp;OpCode!A27&amp;"] do begin" &amp;
" code:= @"&amp;A27&amp;";"&amp;
" inst:= '"&amp;OpCode!B27&amp;"';"&amp;
" fmt:= '"&amp;OpCode!B27&amp;IF(OpCode!C27&lt;&gt;"","'+#9+'"&amp;convertFormat(OpCode!C27),"")&amp;"'"&amp;";"&amp;
" group:= Egroup."&amp;OpCode!D27&amp;";"&amp;
" mode:= Emode."&amp;OpCode!E27&amp;";"&amp;
" len:= "&amp;OpCode!F27&amp;";"&amp;
" cycle:= ["&amp;SUBSTITUTE(OpCode!G27,"|",",")&amp;"];"&amp;
" state:= ["&amp;SUBSTITUTE(OpCode!H27,"|",",")&amp;"];"&amp;
" end;"</f>
        <v>with OpCodes[$19] do begin code:= @op_DAD_D; inst:= 'DAD'; fmt:= 'DAD'+#9+'D'; group:= Egroup.arith; mode:= Emode.reg; len:= 1; cycle:= [3]; state:= [10]; end;</v>
      </c>
    </row>
    <row r="28" spans="1:4" ht="101.25" x14ac:dyDescent="0.25">
      <c r="A28" s="19" t="str">
        <f>"op"&amp;"_"&amp;OpCode!B28&amp;ConvertFormat2(OpCode!C28)</f>
        <v>op_LDAX_D</v>
      </c>
      <c r="B28" s="20" t="str">
        <f t="shared" si="0"/>
        <v>procedure TCPU_8085.op_LDAX_D;</v>
      </c>
      <c r="C28" s="21" t="str">
        <f>$B28&amp;CHAR(10)&amp;ConvertCode(OpCode!K28,OpCode!I28,OpCode!G28,OpCode!H28)</f>
        <v>procedure TCPU_8085.op_LDAX_D;
var 
  DE: iSize16;
begin
  DE:= D shl 8 + E;
  A:= ReadMem(DE);
  inc(cycles, 2);
  inc(states, 7);
end;</v>
      </c>
      <c r="D28" s="21" t="str">
        <f>"with OpCodes[$"&amp;OpCode!A28&amp;"] do begin" &amp;
" code:= @"&amp;A28&amp;";"&amp;
" inst:= '"&amp;OpCode!B28&amp;"';"&amp;
" fmt:= '"&amp;OpCode!B28&amp;IF(OpCode!C28&lt;&gt;"","'+#9+'"&amp;convertFormat(OpCode!C28),"")&amp;"'"&amp;";"&amp;
" group:= Egroup."&amp;OpCode!D28&amp;";"&amp;
" mode:= Emode."&amp;OpCode!E28&amp;";"&amp;
" len:= "&amp;OpCode!F28&amp;";"&amp;
" cycle:= ["&amp;SUBSTITUTE(OpCode!G28,"|",",")&amp;"];"&amp;
" state:= ["&amp;SUBSTITUTE(OpCode!H28,"|",",")&amp;"];"&amp;
" end;"</f>
        <v>with OpCodes[$1A] do begin code:= @op_LDAX_D; inst:= 'LDAX'; fmt:= 'LDAX'+#9+'D'; group:= Egroup.data; mode:= Emode.ind_reg; len:= 1; cycle:= [2]; state:= [7]; end;</v>
      </c>
    </row>
    <row r="29" spans="1:4" ht="135" x14ac:dyDescent="0.25">
      <c r="A29" s="19" t="str">
        <f>"op"&amp;"_"&amp;OpCode!B29&amp;ConvertFormat2(OpCode!C29)</f>
        <v>op_DCX_D</v>
      </c>
      <c r="B29" s="20" t="str">
        <f t="shared" si="0"/>
        <v>procedure TCPU_8085.op_DCX_D;</v>
      </c>
      <c r="C29" s="21" t="str">
        <f>$B29&amp;CHAR(10)&amp;ConvertCode(OpCode!K29,OpCode!I29,OpCode!G29,OpCode!H29)</f>
        <v>procedure TCPU_8085.op_DCX_D;
var 
  DE: iSize16;
begin
  DE:= D shl 8 + E;
  DE:= ((DE - 1) and $FFFF);
  F[EFlags.k]:= ?;
  D:= (DE shr 8) and $FF;
  E:= DE and $FF;
  inc(cycles);
  inc(states, 6);
end;</v>
      </c>
      <c r="D29" s="21" t="str">
        <f>"with OpCodes[$"&amp;OpCode!A29&amp;"] do begin" &amp;
" code:= @"&amp;A29&amp;";"&amp;
" inst:= '"&amp;OpCode!B29&amp;"';"&amp;
" fmt:= '"&amp;OpCode!B29&amp;IF(OpCode!C29&lt;&gt;"","'+#9+'"&amp;convertFormat(OpCode!C29),"")&amp;"'"&amp;";"&amp;
" group:= Egroup."&amp;OpCode!D29&amp;";"&amp;
" mode:= Emode."&amp;OpCode!E29&amp;";"&amp;
" len:= "&amp;OpCode!F29&amp;";"&amp;
" cycle:= ["&amp;SUBSTITUTE(OpCode!G29,"|",",")&amp;"];"&amp;
" state:= ["&amp;SUBSTITUTE(OpCode!H29,"|",",")&amp;"];"&amp;
" end;"</f>
        <v>with OpCodes[$1B] do begin code:= @op_DCX_D; inst:= 'DCX'; fmt:= 'DCX'+#9+'D'; group:= Egroup.arith; mode:= Emode.reg; len:= 1; cycle:= [1]; state:= [6]; end;</v>
      </c>
    </row>
    <row r="30" spans="1:4" ht="135" x14ac:dyDescent="0.25">
      <c r="A30" s="19" t="str">
        <f>"op"&amp;"_"&amp;OpCode!B30&amp;ConvertFormat2(OpCode!C30)</f>
        <v>op_INR_E</v>
      </c>
      <c r="B30" s="20" t="str">
        <f t="shared" si="0"/>
        <v>procedure TCPU_8085.op_INR_E;</v>
      </c>
      <c r="C30" s="21" t="str">
        <f>$B30&amp;CHAR(10)&amp;ConvertCode(OpCode!K30,OpCode!I30,OpCode!G30,OpCode!H30)</f>
        <v>procedure TCPU_8085.op_INR_E;
begin
  E:= ((E + 1) and $FF);
  F[EFlags.k]:= ?;
  F[EFlags.v]:= ?;
  F[EFlags.z]:= E = 0;
  F[EFlags.p]:= parity_of_bits[E];
  F[EFlags.s]:= (E and $80) = $80;
  F[EFlags.hc]:= (E and $0F) = $0;  
  inc(cycles);
  inc(states, 4);
end;</v>
      </c>
      <c r="D30" s="21" t="str">
        <f>"with OpCodes[$"&amp;OpCode!A30&amp;"] do begin" &amp;
" code:= @"&amp;A30&amp;";"&amp;
" inst:= '"&amp;OpCode!B30&amp;"';"&amp;
" fmt:= '"&amp;OpCode!B30&amp;IF(OpCode!C30&lt;&gt;"","'+#9+'"&amp;convertFormat(OpCode!C30),"")&amp;"'"&amp;";"&amp;
" group:= Egroup."&amp;OpCode!D30&amp;";"&amp;
" mode:= Emode."&amp;OpCode!E30&amp;";"&amp;
" len:= "&amp;OpCode!F30&amp;";"&amp;
" cycle:= ["&amp;SUBSTITUTE(OpCode!G30,"|",",")&amp;"];"&amp;
" state:= ["&amp;SUBSTITUTE(OpCode!H30,"|",",")&amp;"];"&amp;
" end;"</f>
        <v>with OpCodes[$1C] do begin code:= @op_INR_E; inst:= 'INR'; fmt:= 'INR'+#9+'E'; group:= Egroup.arith; mode:= Emode.reg; len:= 1; cycle:= [1]; state:= [4]; end;</v>
      </c>
    </row>
    <row r="31" spans="1:4" ht="123.75" x14ac:dyDescent="0.25">
      <c r="A31" s="19" t="str">
        <f>"op"&amp;"_"&amp;OpCode!B31&amp;ConvertFormat2(OpCode!C31)</f>
        <v>op_DCR_E</v>
      </c>
      <c r="B31" s="20" t="str">
        <f t="shared" si="0"/>
        <v>procedure TCPU_8085.op_DCR_E;</v>
      </c>
      <c r="C31" s="21" t="str">
        <f>$B31&amp;CHAR(10)&amp;ConvertCode(OpCode!K31,OpCode!I31,OpCode!G31,OpCode!H31)</f>
        <v>procedure TCPU_8085.op_DCR_E;
begin
  E:= ((E - 1) and $FF);
  F[EFlags.v]:= ?;
  F[EFlags.z]:= E = 0;
  F[EFlags.p]:= parity_of_bits[E];
  F[EFlags.s]:= (E and $80) = $80;
  F[EFlags.hc]:= (E and $0F) = $F;  
  inc(cycles);
  inc(states, 4);
end;</v>
      </c>
      <c r="D31" s="21" t="str">
        <f>"with OpCodes[$"&amp;OpCode!A31&amp;"] do begin" &amp;
" code:= @"&amp;A31&amp;";"&amp;
" inst:= '"&amp;OpCode!B31&amp;"';"&amp;
" fmt:= '"&amp;OpCode!B31&amp;IF(OpCode!C31&lt;&gt;"","'+#9+'"&amp;convertFormat(OpCode!C31),"")&amp;"'"&amp;";"&amp;
" group:= Egroup."&amp;OpCode!D31&amp;";"&amp;
" mode:= Emode."&amp;OpCode!E31&amp;";"&amp;
" len:= "&amp;OpCode!F31&amp;";"&amp;
" cycle:= ["&amp;SUBSTITUTE(OpCode!G31,"|",",")&amp;"];"&amp;
" state:= ["&amp;SUBSTITUTE(OpCode!H31,"|",",")&amp;"];"&amp;
" end;"</f>
        <v>with OpCodes[$1D] do begin code:= @op_DCR_E; inst:= 'DCR'; fmt:= 'DCR'+#9+'E'; group:= Egroup.arith; mode:= Emode.reg; len:= 1; cycle:= [1]; state:= [4]; end;</v>
      </c>
    </row>
    <row r="32" spans="1:4" ht="112.5" x14ac:dyDescent="0.25">
      <c r="A32" s="19" t="str">
        <f>"op"&amp;"_"&amp;OpCode!B32&amp;ConvertFormat2(OpCode!C32)</f>
        <v>op_MVI_E</v>
      </c>
      <c r="B32" s="20" t="str">
        <f t="shared" si="0"/>
        <v>procedure TCPU_8085.op_MVI_E;</v>
      </c>
      <c r="C32" s="21" t="str">
        <f>$B32&amp;CHAR(10)&amp;ConvertCode(OpCode!K32,OpCode!I32,OpCode!G32,OpCode!H32)</f>
        <v>procedure TCPU_8085.op_MVI_E;
var 
  b1: iSize8;
begin
  b1:= ReadMem(PC);
  PC:= (PC+1) and $FFFF;
  E:= b1;
  inc(cycles, 2);
  inc(states, 7);
end;</v>
      </c>
      <c r="D32" s="21" t="str">
        <f>"with OpCodes[$"&amp;OpCode!A32&amp;"] do begin" &amp;
" code:= @"&amp;A32&amp;";"&amp;
" inst:= '"&amp;OpCode!B32&amp;"';"&amp;
" fmt:= '"&amp;OpCode!B32&amp;IF(OpCode!C32&lt;&gt;"","'+#9+'"&amp;convertFormat(OpCode!C32),"")&amp;"'"&amp;";"&amp;
" group:= Egroup."&amp;OpCode!D32&amp;";"&amp;
" mode:= Emode."&amp;OpCode!E32&amp;";"&amp;
" len:= "&amp;OpCode!F32&amp;";"&amp;
" cycle:= ["&amp;SUBSTITUTE(OpCode!G32,"|",",")&amp;"];"&amp;
" state:= ["&amp;SUBSTITUTE(OpCode!H32,"|",",")&amp;"];"&amp;
" end;"</f>
        <v>with OpCodes[$1E] do begin code:= @op_MVI_E; inst:= 'MVI'; fmt:= 'MVI'+#9+'E,%.2x'; group:= Egroup.data; mode:= Emode.imm; len:= 2; cycle:= [2]; state:= [7]; end;</v>
      </c>
    </row>
    <row r="33" spans="1:4" ht="112.5" x14ac:dyDescent="0.25">
      <c r="A33" s="19" t="str">
        <f>"op"&amp;"_"&amp;OpCode!B33&amp;ConvertFormat2(OpCode!C33)</f>
        <v>op_RAR</v>
      </c>
      <c r="B33" s="20" t="str">
        <f t="shared" si="0"/>
        <v>procedure TCPU_8085.op_RAR;</v>
      </c>
      <c r="C33" s="21" t="str">
        <f>$B33&amp;CHAR(10)&amp;ConvertCode(OpCode!K33,OpCode!I33,OpCode!G33,OpCode!H33)</f>
        <v>procedure TCPU_8085.op_RAR;
begin
  A:= ((A  shr  1) and $FF);
  bit 7:= ((prev bit 7) and $FF);
  CY:= ((prev bit 0) and $FF);
  F[EFlags.cy]:= (CY and $100) = $100;  
  F[EFlags.v]:= false;
  inc(cycles);
  inc(states, 4);
end;</v>
      </c>
      <c r="D33" s="21" t="str">
        <f>"with OpCodes[$"&amp;OpCode!A33&amp;"] do begin" &amp;
" code:= @"&amp;A33&amp;";"&amp;
" inst:= '"&amp;OpCode!B33&amp;"';"&amp;
" fmt:= '"&amp;OpCode!B33&amp;IF(OpCode!C33&lt;&gt;"","'+#9+'"&amp;convertFormat(OpCode!C33),"")&amp;"'"&amp;";"&amp;
" group:= Egroup."&amp;OpCode!D33&amp;";"&amp;
" mode:= Emode."&amp;OpCode!E33&amp;";"&amp;
" len:= "&amp;OpCode!F33&amp;";"&amp;
" cycle:= ["&amp;SUBSTITUTE(OpCode!G33,"|",",")&amp;"];"&amp;
" state:= ["&amp;SUBSTITUTE(OpCode!H33,"|",",")&amp;"];"&amp;
" end;"</f>
        <v>with OpCodes[$1F] do begin code:= @op_RAR; inst:= 'RAR'; fmt:= 'RAR'; group:= Egroup.logic; mode:= Emode.imp; len:= 1; cycle:= [1]; state:= [4]; end;</v>
      </c>
    </row>
    <row r="34" spans="1:4" ht="78.75" x14ac:dyDescent="0.25">
      <c r="A34" s="19" t="str">
        <f>"op"&amp;"_"&amp;OpCode!B34&amp;ConvertFormat2(OpCode!C34)</f>
        <v>op_RIM</v>
      </c>
      <c r="B34" s="20" t="str">
        <f t="shared" si="0"/>
        <v>procedure TCPU_8085.op_RIM;</v>
      </c>
      <c r="C34" s="21" t="str">
        <f>$B34&amp;CHAR(10)&amp;ConvertCode(OpCode!K34,OpCode!I34,OpCode!G34,OpCode!H34)</f>
        <v>procedure TCPU_8085.op_RIM;
begin
  Read Interrupt Mask and serial data into A;
  inc(cycles, 3);
  inc(states, 10);
end;</v>
      </c>
      <c r="D34" s="21" t="str">
        <f>"with OpCodes[$"&amp;OpCode!A34&amp;"] do begin" &amp;
" code:= @"&amp;A34&amp;";"&amp;
" inst:= '"&amp;OpCode!B34&amp;"';"&amp;
" fmt:= '"&amp;OpCode!B34&amp;IF(OpCode!C34&lt;&gt;"","'+#9+'"&amp;convertFormat(OpCode!C34),"")&amp;"'"&amp;";"&amp;
" group:= Egroup."&amp;OpCode!D34&amp;";"&amp;
" mode:= Emode."&amp;OpCode!E34&amp;";"&amp;
" len:= "&amp;OpCode!F34&amp;";"&amp;
" cycle:= ["&amp;SUBSTITUTE(OpCode!G34,"|",",")&amp;"];"&amp;
" state:= ["&amp;SUBSTITUTE(OpCode!H34,"|",",")&amp;"];"&amp;
" end;"</f>
        <v>with OpCodes[$20] do begin code:= @op_RIM; inst:= 'RIM'; fmt:= 'RIM'; group:= Egroup.control; mode:= Emode.imp; len:= 1; cycle:= [3]; state:= [10]; end;</v>
      </c>
    </row>
    <row r="35" spans="1:4" ht="146.25" x14ac:dyDescent="0.25">
      <c r="A35" s="19" t="str">
        <f>"op"&amp;"_"&amp;OpCode!B35&amp;ConvertFormat2(OpCode!C35)</f>
        <v>op_LXI_H</v>
      </c>
      <c r="B35" s="20" t="str">
        <f t="shared" si="0"/>
        <v>procedure TCPU_8085.op_LXI_H;</v>
      </c>
      <c r="C35" s="21" t="str">
        <f>$B35&amp;CHAR(10)&amp;ConvertCode(OpCode!K35,OpCode!I35,OpCode!G35,OpCode!H35)</f>
        <v>procedure TCPU_8085.op_LXI_H;
var 
  b1: iSize8;
  b2: iSize8;
begin
  b1:= ReadMem(PC);
  b2:= ReadMem(PC+1);
  PC:= (PC+2) and $FFFF;
  H:= b2;
  L:= b1;
  inc(cycles, 3);
  inc(states, 10);
end;</v>
      </c>
      <c r="D35" s="21" t="str">
        <f>"with OpCodes[$"&amp;OpCode!A35&amp;"] do begin" &amp;
" code:= @"&amp;A35&amp;";"&amp;
" inst:= '"&amp;OpCode!B35&amp;"';"&amp;
" fmt:= '"&amp;OpCode!B35&amp;IF(OpCode!C35&lt;&gt;"","'+#9+'"&amp;convertFormat(OpCode!C35),"")&amp;"'"&amp;";"&amp;
" group:= Egroup."&amp;OpCode!D35&amp;";"&amp;
" mode:= Emode."&amp;OpCode!E35&amp;";"&amp;
" len:= "&amp;OpCode!F35&amp;";"&amp;
" cycle:= ["&amp;SUBSTITUTE(OpCode!G35,"|",",")&amp;"];"&amp;
" state:= ["&amp;SUBSTITUTE(OpCode!H35,"|",",")&amp;"];"&amp;
" end;"</f>
        <v>with OpCodes[$21] do begin code:= @op_LXI_H; inst:= 'LXI'; fmt:= 'LXI'+#9+'H,%.4x'; group:= Egroup.data; mode:= Emode.imm; len:= 3; cycle:= [3]; state:= [10]; end;</v>
      </c>
    </row>
    <row r="36" spans="1:4" ht="112.5" x14ac:dyDescent="0.25">
      <c r="A36" s="19" t="str">
        <f>"op"&amp;"_"&amp;OpCode!B36&amp;ConvertFormat2(OpCode!C36)</f>
        <v>op_SHLD</v>
      </c>
      <c r="B36" s="20" t="str">
        <f t="shared" si="0"/>
        <v>procedure TCPU_8085.op_SHLD;</v>
      </c>
      <c r="C36" s="21" t="str">
        <f>$B36&amp;CHAR(10)&amp;ConvertCode(OpCode!K36,OpCode!I36,OpCode!G36,OpCode!H36)</f>
        <v>procedure TCPU_8085.op_SHLD;
var 
  adr: iSize16;
begin
  adr:= b2 shl 8 + b1;
  (adr):= (L and $FF);
  (adr + 1):= (H and $FF);
  inc(cycles, 5);
  inc(states, 16);
end;</v>
      </c>
      <c r="D36" s="21" t="str">
        <f>"with OpCodes[$"&amp;OpCode!A36&amp;"] do begin" &amp;
" code:= @"&amp;A36&amp;";"&amp;
" inst:= '"&amp;OpCode!B36&amp;"';"&amp;
" fmt:= '"&amp;OpCode!B36&amp;IF(OpCode!C36&lt;&gt;"","'+#9+'"&amp;convertFormat(OpCode!C36),"")&amp;"'"&amp;";"&amp;
" group:= Egroup."&amp;OpCode!D36&amp;";"&amp;
" mode:= Emode."&amp;OpCode!E36&amp;";"&amp;
" len:= "&amp;OpCode!F36&amp;";"&amp;
" cycle:= ["&amp;SUBSTITUTE(OpCode!G36,"|",",")&amp;"];"&amp;
" state:= ["&amp;SUBSTITUTE(OpCode!H36,"|",",")&amp;"];"&amp;
" end;"</f>
        <v>with OpCodes[$22] do begin code:= @op_SHLD; inst:= 'SHLD'; fmt:= 'SHLD'+#9+'%.4x'; group:= Egroup.data; mode:= Emode.abs; len:= 3; cycle:= [5]; state:= [16]; end;</v>
      </c>
    </row>
    <row r="37" spans="1:4" ht="135" x14ac:dyDescent="0.25">
      <c r="A37" s="19" t="str">
        <f>"op"&amp;"_"&amp;OpCode!B37&amp;ConvertFormat2(OpCode!C37)</f>
        <v>op_INX_H</v>
      </c>
      <c r="B37" s="20" t="str">
        <f t="shared" si="0"/>
        <v>procedure TCPU_8085.op_INX_H;</v>
      </c>
      <c r="C37" s="21" t="str">
        <f>$B37&amp;CHAR(10)&amp;ConvertCode(OpCode!K37,OpCode!I37,OpCode!G37,OpCode!H37)</f>
        <v>procedure TCPU_8085.op_INX_H;
var 
  HL: iSize16;
begin
  HL:= H shl 8 + L;
  HL:= ((HL + 1) and $FFFF);
  F[EFlags.k]:= ?;
  H:= (HL shr 8) and $FF;
  L:= HL and $FF;
  inc(cycles);
  inc(states, 6);
end;</v>
      </c>
      <c r="D37" s="21" t="str">
        <f>"with OpCodes[$"&amp;OpCode!A37&amp;"] do begin" &amp;
" code:= @"&amp;A37&amp;";"&amp;
" inst:= '"&amp;OpCode!B37&amp;"';"&amp;
" fmt:= '"&amp;OpCode!B37&amp;IF(OpCode!C37&lt;&gt;"","'+#9+'"&amp;convertFormat(OpCode!C37),"")&amp;"'"&amp;";"&amp;
" group:= Egroup."&amp;OpCode!D37&amp;";"&amp;
" mode:= Emode."&amp;OpCode!E37&amp;";"&amp;
" len:= "&amp;OpCode!F37&amp;";"&amp;
" cycle:= ["&amp;SUBSTITUTE(OpCode!G37,"|",",")&amp;"];"&amp;
" state:= ["&amp;SUBSTITUTE(OpCode!H37,"|",",")&amp;"];"&amp;
" end;"</f>
        <v>with OpCodes[$23] do begin code:= @op_INX_H; inst:= 'INX'; fmt:= 'INX'+#9+'H'; group:= Egroup.arith; mode:= Emode.reg; len:= 1; cycle:= [1]; state:= [6]; end;</v>
      </c>
    </row>
    <row r="38" spans="1:4" ht="135" x14ac:dyDescent="0.25">
      <c r="A38" s="19" t="str">
        <f>"op"&amp;"_"&amp;OpCode!B38&amp;ConvertFormat2(OpCode!C38)</f>
        <v>op_INR_H</v>
      </c>
      <c r="B38" s="20" t="str">
        <f t="shared" si="0"/>
        <v>procedure TCPU_8085.op_INR_H;</v>
      </c>
      <c r="C38" s="21" t="str">
        <f>$B38&amp;CHAR(10)&amp;ConvertCode(OpCode!K38,OpCode!I38,OpCode!G38,OpCode!H38)</f>
        <v>procedure TCPU_8085.op_INR_H;
begin
  H:= ((H + 1) and $FF);
  F[EFlags.k]:= ?;
  F[EFlags.v]:= ?;
  F[EFlags.z]:= H = 0;
  F[EFlags.p]:= parity_of_bits[H];
  F[EFlags.s]:= (H and $80) = $80;
  F[EFlags.hc]:= (H and $0F) = $0;  
  inc(cycles);
  inc(states, 4);
end;</v>
      </c>
      <c r="D38" s="21" t="str">
        <f>"with OpCodes[$"&amp;OpCode!A38&amp;"] do begin" &amp;
" code:= @"&amp;A38&amp;";"&amp;
" inst:= '"&amp;OpCode!B38&amp;"';"&amp;
" fmt:= '"&amp;OpCode!B38&amp;IF(OpCode!C38&lt;&gt;"","'+#9+'"&amp;convertFormat(OpCode!C38),"")&amp;"'"&amp;";"&amp;
" group:= Egroup."&amp;OpCode!D38&amp;";"&amp;
" mode:= Emode."&amp;OpCode!E38&amp;";"&amp;
" len:= "&amp;OpCode!F38&amp;";"&amp;
" cycle:= ["&amp;SUBSTITUTE(OpCode!G38,"|",",")&amp;"];"&amp;
" state:= ["&amp;SUBSTITUTE(OpCode!H38,"|",",")&amp;"];"&amp;
" end;"</f>
        <v>with OpCodes[$24] do begin code:= @op_INR_H; inst:= 'INR'; fmt:= 'INR'+#9+'H'; group:= Egroup.arith; mode:= Emode.reg; len:= 1; cycle:= [1]; state:= [4]; end;</v>
      </c>
    </row>
    <row r="39" spans="1:4" ht="123.75" x14ac:dyDescent="0.25">
      <c r="A39" s="19" t="str">
        <f>"op"&amp;"_"&amp;OpCode!B39&amp;ConvertFormat2(OpCode!C39)</f>
        <v>op_DCR_H</v>
      </c>
      <c r="B39" s="20" t="str">
        <f t="shared" si="0"/>
        <v>procedure TCPU_8085.op_DCR_H;</v>
      </c>
      <c r="C39" s="21" t="str">
        <f>$B39&amp;CHAR(10)&amp;ConvertCode(OpCode!K39,OpCode!I39,OpCode!G39,OpCode!H39)</f>
        <v>procedure TCPU_8085.op_DCR_H;
begin
  H:= ((H - 1) and $FF);
  F[EFlags.v]:= ?;
  F[EFlags.z]:= H = 0;
  F[EFlags.p]:= parity_of_bits[H];
  F[EFlags.s]:= (H and $80) = $80;
  F[EFlags.hc]:= (H and $0F) = $F;  
  inc(cycles);
  inc(states, 4);
end;</v>
      </c>
      <c r="D39" s="21" t="str">
        <f>"with OpCodes[$"&amp;OpCode!A39&amp;"] do begin" &amp;
" code:= @"&amp;A39&amp;";"&amp;
" inst:= '"&amp;OpCode!B39&amp;"';"&amp;
" fmt:= '"&amp;OpCode!B39&amp;IF(OpCode!C39&lt;&gt;"","'+#9+'"&amp;convertFormat(OpCode!C39),"")&amp;"'"&amp;";"&amp;
" group:= Egroup."&amp;OpCode!D39&amp;";"&amp;
" mode:= Emode."&amp;OpCode!E39&amp;";"&amp;
" len:= "&amp;OpCode!F39&amp;";"&amp;
" cycle:= ["&amp;SUBSTITUTE(OpCode!G39,"|",",")&amp;"];"&amp;
" state:= ["&amp;SUBSTITUTE(OpCode!H39,"|",",")&amp;"];"&amp;
" end;"</f>
        <v>with OpCodes[$25] do begin code:= @op_DCR_H; inst:= 'DCR'; fmt:= 'DCR'+#9+'H'; group:= Egroup.arith; mode:= Emode.reg; len:= 1; cycle:= [1]; state:= [4]; end;</v>
      </c>
    </row>
    <row r="40" spans="1:4" ht="112.5" x14ac:dyDescent="0.25">
      <c r="A40" s="19" t="str">
        <f>"op"&amp;"_"&amp;OpCode!B40&amp;ConvertFormat2(OpCode!C40)</f>
        <v>op_MVI_H</v>
      </c>
      <c r="B40" s="20" t="str">
        <f t="shared" si="0"/>
        <v>procedure TCPU_8085.op_MVI_H;</v>
      </c>
      <c r="C40" s="21" t="str">
        <f>$B40&amp;CHAR(10)&amp;ConvertCode(OpCode!K40,OpCode!I40,OpCode!G40,OpCode!H40)</f>
        <v>procedure TCPU_8085.op_MVI_H;
var 
  b1: iSize8;
begin
  b1:= ReadMem(PC);
  PC:= (PC+1) and $FFFF;
  H:= b1;
  inc(cycles, 2);
  inc(states, 7);
end;</v>
      </c>
      <c r="D40" s="21" t="str">
        <f>"with OpCodes[$"&amp;OpCode!A40&amp;"] do begin" &amp;
" code:= @"&amp;A40&amp;";"&amp;
" inst:= '"&amp;OpCode!B40&amp;"';"&amp;
" fmt:= '"&amp;OpCode!B40&amp;IF(OpCode!C40&lt;&gt;"","'+#9+'"&amp;convertFormat(OpCode!C40),"")&amp;"'"&amp;";"&amp;
" group:= Egroup."&amp;OpCode!D40&amp;";"&amp;
" mode:= Emode."&amp;OpCode!E40&amp;";"&amp;
" len:= "&amp;OpCode!F40&amp;";"&amp;
" cycle:= ["&amp;SUBSTITUTE(OpCode!G40,"|",",")&amp;"];"&amp;
" state:= ["&amp;SUBSTITUTE(OpCode!H40,"|",",")&amp;"];"&amp;
" end;"</f>
        <v>with OpCodes[$26] do begin code:= @op_MVI_H; inst:= 'MVI'; fmt:= 'MVI'+#9+'H,%.2x'; group:= Egroup.data; mode:= Emode.imm; len:= 2; cycle:= [2]; state:= [7]; end;</v>
      </c>
    </row>
    <row r="41" spans="1:4" ht="146.25" x14ac:dyDescent="0.25">
      <c r="A41" s="19" t="str">
        <f>"op"&amp;"_"&amp;OpCode!B41&amp;ConvertFormat2(OpCode!C41)</f>
        <v>op_DAA</v>
      </c>
      <c r="B41" s="20" t="str">
        <f t="shared" si="0"/>
        <v>procedure TCPU_8085.op_DAA;</v>
      </c>
      <c r="C41" s="21" t="str">
        <f>$B41&amp;CHAR(10)&amp;ConvertCode(OpCode!K41,OpCode!I41,OpCode!G41,OpCode!H41)</f>
        <v>procedure TCPU_8085.op_DAA;
begin
  Special;
  F[EFlags.k]:= ?;
  F[EFlags.v]:= ?;
  F[EFlags.z]:= A = 0;
  F[EFlags.p]:= parity_of_bits[A];
  F[EFlags.s]:= (A and $80) = $80;
  F[EFlags.hc]:= (A and $0F) = $0;  
  F[EFlags.cy]:= (A and $100) = $100;  
  inc(cycles);
  inc(states, 4);
end;</v>
      </c>
      <c r="D41" s="21" t="str">
        <f>"with OpCodes[$"&amp;OpCode!A41&amp;"] do begin" &amp;
" code:= @"&amp;A41&amp;";"&amp;
" inst:= '"&amp;OpCode!B41&amp;"';"&amp;
" fmt:= '"&amp;OpCode!B41&amp;IF(OpCode!C41&lt;&gt;"","'+#9+'"&amp;convertFormat(OpCode!C41),"")&amp;"'"&amp;";"&amp;
" group:= Egroup."&amp;OpCode!D41&amp;";"&amp;
" mode:= Emode."&amp;OpCode!E41&amp;";"&amp;
" len:= "&amp;OpCode!F41&amp;";"&amp;
" cycle:= ["&amp;SUBSTITUTE(OpCode!G41,"|",",")&amp;"];"&amp;
" state:= ["&amp;SUBSTITUTE(OpCode!H41,"|",",")&amp;"];"&amp;
" end;"</f>
        <v>with OpCodes[$27] do begin code:= @op_DAA; inst:= 'DAA'; fmt:= 'DAA'; group:= Egroup.logic; mode:= Emode.imp; len:= 1; cycle:= [1]; state:= [4]; end;</v>
      </c>
    </row>
    <row r="42" spans="1:4" ht="180" x14ac:dyDescent="0.25">
      <c r="A42" s="19" t="str">
        <f>"op"&amp;"_"&amp;OpCode!B42&amp;ConvertFormat2(OpCode!C42)</f>
        <v>op_LDHI</v>
      </c>
      <c r="B42" s="20" t="str">
        <f t="shared" si="0"/>
        <v>procedure TCPU_8085.op_LDHI;</v>
      </c>
      <c r="C42" s="21" t="str">
        <f>$B42&amp;CHAR(10)&amp;ConvertCode(OpCode!K42,OpCode!I42,OpCode!G42,OpCode!H42)</f>
        <v>procedure TCPU_8085.op_LDHI;
var 
  DE: iSize16;
  HL: iSize16;
  b1: iSize8;
begin
  DE:= D shl 8 + E;
  HL:= H shl 8 + L;
  b1:= ReadMem(PC);
  PC:= (PC+1) and $FFFF;
  DE:= ((HL + b1) and $FFFF);
  D:= (DE shr 8) and $FF;
  E:= DE and $FF;
  inc(cycles, 3);
  inc(states, 10);
end;</v>
      </c>
      <c r="D42" s="21" t="str">
        <f>"with OpCodes[$"&amp;OpCode!A42&amp;"] do begin" &amp;
" code:= @"&amp;A42&amp;";"&amp;
" inst:= '"&amp;OpCode!B42&amp;"';"&amp;
" fmt:= '"&amp;OpCode!B42&amp;IF(OpCode!C42&lt;&gt;"","'+#9+'"&amp;convertFormat(OpCode!C42),"")&amp;"'"&amp;";"&amp;
" group:= Egroup."&amp;OpCode!D42&amp;";"&amp;
" mode:= Emode."&amp;OpCode!E42&amp;";"&amp;
" len:= "&amp;OpCode!F42&amp;";"&amp;
" cycle:= ["&amp;SUBSTITUTE(OpCode!G42,"|",",")&amp;"];"&amp;
" state:= ["&amp;SUBSTITUTE(OpCode!H42,"|",",")&amp;"];"&amp;
" end;"</f>
        <v>with OpCodes[$28] do begin code:= @op_LDHI; inst:= 'LDHI'; fmt:= 'LDHI'+#9+'%.2x'; group:= Egroup.data; mode:= Emode.imm; len:= 2; cycle:= [3]; state:= [10]; end;</v>
      </c>
    </row>
    <row r="43" spans="1:4" ht="146.25" x14ac:dyDescent="0.25">
      <c r="A43" s="19" t="str">
        <f>"op"&amp;"_"&amp;OpCode!B43&amp;ConvertFormat2(OpCode!C43)</f>
        <v>op_DAD_H</v>
      </c>
      <c r="B43" s="20" t="str">
        <f t="shared" si="0"/>
        <v>procedure TCPU_8085.op_DAD_H;</v>
      </c>
      <c r="C43" s="21" t="str">
        <f>$B43&amp;CHAR(10)&amp;ConvertCode(OpCode!K43,OpCode!I43,OpCode!G43,OpCode!H43)</f>
        <v>procedure TCPU_8085.op_DAD_H;
var 
  HL: iSize16;
begin
  HL:= H shl 8 + L;
  HL:= ((HL + HL) and $FFFF);
  F[EFlags.v]:= ?;
  F[EFlags.cy]:= (HL and $100) = $100;  
  H:= (HL shr 8) and $FF;
  L:= HL and $FF;
  inc(cycles, 3);
  inc(states, 10);
end;</v>
      </c>
      <c r="D43" s="21" t="str">
        <f>"with OpCodes[$"&amp;OpCode!A43&amp;"] do begin" &amp;
" code:= @"&amp;A43&amp;";"&amp;
" inst:= '"&amp;OpCode!B43&amp;"';"&amp;
" fmt:= '"&amp;OpCode!B43&amp;IF(OpCode!C43&lt;&gt;"","'+#9+'"&amp;convertFormat(OpCode!C43),"")&amp;"'"&amp;";"&amp;
" group:= Egroup."&amp;OpCode!D43&amp;";"&amp;
" mode:= Emode."&amp;OpCode!E43&amp;";"&amp;
" len:= "&amp;OpCode!F43&amp;";"&amp;
" cycle:= ["&amp;SUBSTITUTE(OpCode!G43,"|",",")&amp;"];"&amp;
" state:= ["&amp;SUBSTITUTE(OpCode!H43,"|",",")&amp;"];"&amp;
" end;"</f>
        <v>with OpCodes[$29] do begin code:= @op_DAD_H; inst:= 'DAD'; fmt:= 'DAD'+#9+'H'; group:= Egroup.arith; mode:= Emode.reg; len:= 1; cycle:= [3]; state:= [10]; end;</v>
      </c>
    </row>
    <row r="44" spans="1:4" ht="112.5" x14ac:dyDescent="0.25">
      <c r="A44" s="19" t="str">
        <f>"op"&amp;"_"&amp;OpCode!B44&amp;ConvertFormat2(OpCode!C44)</f>
        <v>op_LHLD</v>
      </c>
      <c r="B44" s="20" t="str">
        <f t="shared" si="0"/>
        <v>procedure TCPU_8085.op_LHLD;</v>
      </c>
      <c r="C44" s="21" t="str">
        <f>$B44&amp;CHAR(10)&amp;ConvertCode(OpCode!K44,OpCode!I44,OpCode!G44,OpCode!H44)</f>
        <v>procedure TCPU_8085.op_LHLD;
var 
  adr: iSize16;
begin
  adr:= b2 shl 8 + b1;
  L:= (((adr)) and $FF);
  H:= (((adr + 1)) and $FF);
  inc(cycles, 5);
  inc(states, 16);
end;</v>
      </c>
      <c r="D44" s="21" t="str">
        <f>"with OpCodes[$"&amp;OpCode!A44&amp;"] do begin" &amp;
" code:= @"&amp;A44&amp;";"&amp;
" inst:= '"&amp;OpCode!B44&amp;"';"&amp;
" fmt:= '"&amp;OpCode!B44&amp;IF(OpCode!C44&lt;&gt;"","'+#9+'"&amp;convertFormat(OpCode!C44),"")&amp;"'"&amp;";"&amp;
" group:= Egroup."&amp;OpCode!D44&amp;";"&amp;
" mode:= Emode."&amp;OpCode!E44&amp;";"&amp;
" len:= "&amp;OpCode!F44&amp;";"&amp;
" cycle:= ["&amp;SUBSTITUTE(OpCode!G44,"|",",")&amp;"];"&amp;
" state:= ["&amp;SUBSTITUTE(OpCode!H44,"|",",")&amp;"];"&amp;
" end;"</f>
        <v>with OpCodes[$2A] do begin code:= @op_LHLD; inst:= 'LHLD'; fmt:= 'LHLD'+#9+'%.4x'; group:= Egroup.data; mode:= Emode.abs; len:= 3; cycle:= [5]; state:= [16]; end;</v>
      </c>
    </row>
    <row r="45" spans="1:4" ht="135" x14ac:dyDescent="0.25">
      <c r="A45" s="19" t="str">
        <f>"op"&amp;"_"&amp;OpCode!B45&amp;ConvertFormat2(OpCode!C45)</f>
        <v>op_DCX_H</v>
      </c>
      <c r="B45" s="20" t="str">
        <f t="shared" si="0"/>
        <v>procedure TCPU_8085.op_DCX_H;</v>
      </c>
      <c r="C45" s="21" t="str">
        <f>$B45&amp;CHAR(10)&amp;ConvertCode(OpCode!K45,OpCode!I45,OpCode!G45,OpCode!H45)</f>
        <v>procedure TCPU_8085.op_DCX_H;
var 
  HL: iSize16;
begin
  HL:= H shl 8 + L;
  HL:= ((HL - 1) and $FFFF);
  F[EFlags.k]:= ?;
  H:= (HL shr 8) and $FF;
  L:= HL and $FF;
  inc(cycles);
  inc(states, 6);
end;</v>
      </c>
      <c r="D45" s="21" t="str">
        <f>"with OpCodes[$"&amp;OpCode!A45&amp;"] do begin" &amp;
" code:= @"&amp;A45&amp;";"&amp;
" inst:= '"&amp;OpCode!B45&amp;"';"&amp;
" fmt:= '"&amp;OpCode!B45&amp;IF(OpCode!C45&lt;&gt;"","'+#9+'"&amp;convertFormat(OpCode!C45),"")&amp;"'"&amp;";"&amp;
" group:= Egroup."&amp;OpCode!D45&amp;";"&amp;
" mode:= Emode."&amp;OpCode!E45&amp;";"&amp;
" len:= "&amp;OpCode!F45&amp;";"&amp;
" cycle:= ["&amp;SUBSTITUTE(OpCode!G45,"|",",")&amp;"];"&amp;
" state:= ["&amp;SUBSTITUTE(OpCode!H45,"|",",")&amp;"];"&amp;
" end;"</f>
        <v>with OpCodes[$2B] do begin code:= @op_DCX_H; inst:= 'DCX'; fmt:= 'DCX'+#9+'H'; group:= Egroup.arith; mode:= Emode.reg; len:= 1; cycle:= [1]; state:= [6]; end;</v>
      </c>
    </row>
    <row r="46" spans="1:4" ht="135" x14ac:dyDescent="0.25">
      <c r="A46" s="19" t="str">
        <f>"op"&amp;"_"&amp;OpCode!B46&amp;ConvertFormat2(OpCode!C46)</f>
        <v>op_INR_L</v>
      </c>
      <c r="B46" s="20" t="str">
        <f t="shared" si="0"/>
        <v>procedure TCPU_8085.op_INR_L;</v>
      </c>
      <c r="C46" s="21" t="str">
        <f>$B46&amp;CHAR(10)&amp;ConvertCode(OpCode!K46,OpCode!I46,OpCode!G46,OpCode!H46)</f>
        <v>procedure TCPU_8085.op_INR_L;
begin
  L:= ((L + 1) and $FF);
  F[EFlags.k]:= ?;
  F[EFlags.v]:= ?;
  F[EFlags.z]:= L = 0;
  F[EFlags.p]:= parity_of_bits[L];
  F[EFlags.s]:= (L and $80) = $80;
  F[EFlags.hc]:= (L and $0F) = $0;  
  inc(cycles);
  inc(states, 4);
end;</v>
      </c>
      <c r="D46" s="21" t="str">
        <f>"with OpCodes[$"&amp;OpCode!A46&amp;"] do begin" &amp;
" code:= @"&amp;A46&amp;";"&amp;
" inst:= '"&amp;OpCode!B46&amp;"';"&amp;
" fmt:= '"&amp;OpCode!B46&amp;IF(OpCode!C46&lt;&gt;"","'+#9+'"&amp;convertFormat(OpCode!C46),"")&amp;"'"&amp;";"&amp;
" group:= Egroup."&amp;OpCode!D46&amp;";"&amp;
" mode:= Emode."&amp;OpCode!E46&amp;";"&amp;
" len:= "&amp;OpCode!F46&amp;";"&amp;
" cycle:= ["&amp;SUBSTITUTE(OpCode!G46,"|",",")&amp;"];"&amp;
" state:= ["&amp;SUBSTITUTE(OpCode!H46,"|",",")&amp;"];"&amp;
" end;"</f>
        <v>with OpCodes[$2C] do begin code:= @op_INR_L; inst:= 'INR'; fmt:= 'INR'+#9+'L'; group:= Egroup.arith; mode:= Emode.reg; len:= 1; cycle:= [1]; state:= [4]; end;</v>
      </c>
    </row>
    <row r="47" spans="1:4" ht="123.75" x14ac:dyDescent="0.25">
      <c r="A47" s="19" t="str">
        <f>"op"&amp;"_"&amp;OpCode!B47&amp;ConvertFormat2(OpCode!C47)</f>
        <v>op_DCR_L</v>
      </c>
      <c r="B47" s="20" t="str">
        <f t="shared" si="0"/>
        <v>procedure TCPU_8085.op_DCR_L;</v>
      </c>
      <c r="C47" s="21" t="str">
        <f>$B47&amp;CHAR(10)&amp;ConvertCode(OpCode!K47,OpCode!I47,OpCode!G47,OpCode!H47)</f>
        <v>procedure TCPU_8085.op_DCR_L;
begin
  L:= ((L - 1) and $FF);
  F[EFlags.v]:= ?;
  F[EFlags.z]:= L = 0;
  F[EFlags.p]:= parity_of_bits[L];
  F[EFlags.s]:= (L and $80) = $80;
  F[EFlags.hc]:= (L and $0F) = $F;  
  inc(cycles);
  inc(states, 4);
end;</v>
      </c>
      <c r="D47" s="21" t="str">
        <f>"with OpCodes[$"&amp;OpCode!A47&amp;"] do begin" &amp;
" code:= @"&amp;A47&amp;";"&amp;
" inst:= '"&amp;OpCode!B47&amp;"';"&amp;
" fmt:= '"&amp;OpCode!B47&amp;IF(OpCode!C47&lt;&gt;"","'+#9+'"&amp;convertFormat(OpCode!C47),"")&amp;"'"&amp;";"&amp;
" group:= Egroup."&amp;OpCode!D47&amp;";"&amp;
" mode:= Emode."&amp;OpCode!E47&amp;";"&amp;
" len:= "&amp;OpCode!F47&amp;";"&amp;
" cycle:= ["&amp;SUBSTITUTE(OpCode!G47,"|",",")&amp;"];"&amp;
" state:= ["&amp;SUBSTITUTE(OpCode!H47,"|",",")&amp;"];"&amp;
" end;"</f>
        <v>with OpCodes[$2D] do begin code:= @op_DCR_L; inst:= 'DCR'; fmt:= 'DCR'+#9+'L'; group:= Egroup.arith; mode:= Emode.reg; len:= 1; cycle:= [1]; state:= [4]; end;</v>
      </c>
    </row>
    <row r="48" spans="1:4" ht="112.5" x14ac:dyDescent="0.25">
      <c r="A48" s="19" t="str">
        <f>"op"&amp;"_"&amp;OpCode!B48&amp;ConvertFormat2(OpCode!C48)</f>
        <v>op_MVI_L</v>
      </c>
      <c r="B48" s="20" t="str">
        <f t="shared" si="0"/>
        <v>procedure TCPU_8085.op_MVI_L;</v>
      </c>
      <c r="C48" s="21" t="str">
        <f>$B48&amp;CHAR(10)&amp;ConvertCode(OpCode!K48,OpCode!I48,OpCode!G48,OpCode!H48)</f>
        <v>procedure TCPU_8085.op_MVI_L;
var 
  b1: iSize8;
begin
  b1:= ReadMem(PC);
  PC:= (PC+1) and $FFFF;
  L:= b1;
  inc(cycles, 2);
  inc(states, 7);
end;</v>
      </c>
      <c r="D48" s="21" t="str">
        <f>"with OpCodes[$"&amp;OpCode!A48&amp;"] do begin" &amp;
" code:= @"&amp;A48&amp;";"&amp;
" inst:= '"&amp;OpCode!B48&amp;"';"&amp;
" fmt:= '"&amp;OpCode!B48&amp;IF(OpCode!C48&lt;&gt;"","'+#9+'"&amp;convertFormat(OpCode!C48),"")&amp;"'"&amp;";"&amp;
" group:= Egroup."&amp;OpCode!D48&amp;";"&amp;
" mode:= Emode."&amp;OpCode!E48&amp;";"&amp;
" len:= "&amp;OpCode!F48&amp;";"&amp;
" cycle:= ["&amp;SUBSTITUTE(OpCode!G48,"|",",")&amp;"];"&amp;
" state:= ["&amp;SUBSTITUTE(OpCode!H48,"|",",")&amp;"];"&amp;
" end;"</f>
        <v>with OpCodes[$2E] do begin code:= @op_MVI_L; inst:= 'MVI'; fmt:= 'MVI'+#9+'L,%.2x'; group:= Egroup.data; mode:= Emode.imm; len:= 2; cycle:= [2]; state:= [7]; end;</v>
      </c>
    </row>
    <row r="49" spans="1:4" ht="90" x14ac:dyDescent="0.25">
      <c r="A49" s="19" t="str">
        <f>"op"&amp;"_"&amp;OpCode!B49&amp;ConvertFormat2(OpCode!C49)</f>
        <v>op_CMA</v>
      </c>
      <c r="B49" s="20" t="str">
        <f t="shared" si="0"/>
        <v>procedure TCPU_8085.op_CMA;</v>
      </c>
      <c r="C49" s="21" t="str">
        <f>$B49&amp;CHAR(10)&amp;ConvertCode(OpCode!K49,OpCode!I49,OpCode!G49,OpCode!H49)</f>
        <v>procedure TCPU_8085.op_CMA;
begin
  A:= ((!A) and $FF);
  F[EFlags.k]:= true;
  F[EFlags.v]:= true;
  inc(cycles);
  inc(states, 4);
end;</v>
      </c>
      <c r="D49" s="21" t="str">
        <f>"with OpCodes[$"&amp;OpCode!A49&amp;"] do begin" &amp;
" code:= @"&amp;A49&amp;";"&amp;
" inst:= '"&amp;OpCode!B49&amp;"';"&amp;
" fmt:= '"&amp;OpCode!B49&amp;IF(OpCode!C49&lt;&gt;"","'+#9+'"&amp;convertFormat(OpCode!C49),"")&amp;"'"&amp;";"&amp;
" group:= Egroup."&amp;OpCode!D49&amp;";"&amp;
" mode:= Emode."&amp;OpCode!E49&amp;";"&amp;
" len:= "&amp;OpCode!F49&amp;";"&amp;
" cycle:= ["&amp;SUBSTITUTE(OpCode!G49,"|",",")&amp;"];"&amp;
" state:= ["&amp;SUBSTITUTE(OpCode!H49,"|",",")&amp;"];"&amp;
" end;"</f>
        <v>with OpCodes[$2F] do begin code:= @op_CMA; inst:= 'CMA'; fmt:= 'CMA'; group:= Egroup.logic; mode:= Emode.imp; len:= 1; cycle:= [1]; state:= [4]; end;</v>
      </c>
    </row>
    <row r="50" spans="1:4" ht="78.75" x14ac:dyDescent="0.25">
      <c r="A50" s="19" t="str">
        <f>"op"&amp;"_"&amp;OpCode!B50&amp;ConvertFormat2(OpCode!C50)</f>
        <v>op_SIM</v>
      </c>
      <c r="B50" s="20" t="str">
        <f t="shared" si="0"/>
        <v>procedure TCPU_8085.op_SIM;</v>
      </c>
      <c r="C50" s="21" t="str">
        <f>$B50&amp;CHAR(10)&amp;ConvertCode(OpCode!K50,OpCode!I50,OpCode!G50,OpCode!H50)</f>
        <v>procedure TCPU_8085.op_SIM;
begin
  Set Interrupt Mask and serial data from A;
  inc(cycles);
  inc(states, 4);
end;</v>
      </c>
      <c r="D50" s="21" t="str">
        <f>"with OpCodes[$"&amp;OpCode!A50&amp;"] do begin" &amp;
" code:= @"&amp;A50&amp;";"&amp;
" inst:= '"&amp;OpCode!B50&amp;"';"&amp;
" fmt:= '"&amp;OpCode!B50&amp;IF(OpCode!C50&lt;&gt;"","'+#9+'"&amp;convertFormat(OpCode!C50),"")&amp;"'"&amp;";"&amp;
" group:= Egroup."&amp;OpCode!D50&amp;";"&amp;
" mode:= Emode."&amp;OpCode!E50&amp;";"&amp;
" len:= "&amp;OpCode!F50&amp;";"&amp;
" cycle:= ["&amp;SUBSTITUTE(OpCode!G50,"|",",")&amp;"];"&amp;
" state:= ["&amp;SUBSTITUTE(OpCode!H50,"|",",")&amp;"];"&amp;
" end;"</f>
        <v>with OpCodes[$30] do begin code:= @op_SIM; inst:= 'SIM'; fmt:= 'SIM'; group:= Egroup.control; mode:= Emode.imp; len:= 1; cycle:= [1]; state:= [4]; end;</v>
      </c>
    </row>
    <row r="51" spans="1:4" ht="146.25" x14ac:dyDescent="0.25">
      <c r="A51" s="19" t="str">
        <f>"op"&amp;"_"&amp;OpCode!B51&amp;ConvertFormat2(OpCode!C51)</f>
        <v>op_LXI_SP</v>
      </c>
      <c r="B51" s="20" t="str">
        <f t="shared" si="0"/>
        <v>procedure TCPU_8085.op_LXI_SP;</v>
      </c>
      <c r="C51" s="21" t="str">
        <f>$B51&amp;CHAR(10)&amp;ConvertCode(OpCode!K51,OpCode!I51,OpCode!G51,OpCode!H51)</f>
        <v>procedure TCPU_8085.op_LXI_SP;
var 
  b1: iSize8;
  b2: iSize8;
begin
  b1:= ReadMem(PC);
  b2:= ReadMem(PC+1);
  PC:= (PC+2) and $FFFF;
  SP.hi:= b2;
  SP.lo:= b1;
  inc(cycles, 3);
  inc(states, 10);
end;</v>
      </c>
      <c r="D51" s="21" t="str">
        <f>"with OpCodes[$"&amp;OpCode!A51&amp;"] do begin" &amp;
" code:= @"&amp;A51&amp;";"&amp;
" inst:= '"&amp;OpCode!B51&amp;"';"&amp;
" fmt:= '"&amp;OpCode!B51&amp;IF(OpCode!C51&lt;&gt;"","'+#9+'"&amp;convertFormat(OpCode!C51),"")&amp;"'"&amp;";"&amp;
" group:= Egroup."&amp;OpCode!D51&amp;";"&amp;
" mode:= Emode."&amp;OpCode!E51&amp;";"&amp;
" len:= "&amp;OpCode!F51&amp;";"&amp;
" cycle:= ["&amp;SUBSTITUTE(OpCode!G51,"|",",")&amp;"];"&amp;
" state:= ["&amp;SUBSTITUTE(OpCode!H51,"|",",")&amp;"];"&amp;
" end;"</f>
        <v>with OpCodes[$31] do begin code:= @op_LXI_SP; inst:= 'LXI'; fmt:= 'LXI'+#9+'SP,%.4x'; group:= Egroup.data; mode:= Emode.imm; len:= 3; cycle:= [3]; state:= [10]; end;</v>
      </c>
    </row>
    <row r="52" spans="1:4" ht="101.25" x14ac:dyDescent="0.25">
      <c r="A52" s="19" t="str">
        <f>"op"&amp;"_"&amp;OpCode!B52&amp;ConvertFormat2(OpCode!C52)</f>
        <v>op_STA</v>
      </c>
      <c r="B52" s="20" t="str">
        <f t="shared" si="0"/>
        <v>procedure TCPU_8085.op_STA;</v>
      </c>
      <c r="C52" s="21" t="str">
        <f>$B52&amp;CHAR(10)&amp;ConvertCode(OpCode!K52,OpCode!I52,OpCode!G52,OpCode!H52)</f>
        <v>procedure TCPU_8085.op_STA;
var 
  adr: iSize16;
begin
  adr:= b2 shl 8 + b1;
  (adr):= (A and $FF);
  inc(cycles, 4);
  inc(states, 13);
end;</v>
      </c>
      <c r="D52" s="21" t="str">
        <f>"with OpCodes[$"&amp;OpCode!A52&amp;"] do begin" &amp;
" code:= @"&amp;A52&amp;";"&amp;
" inst:= '"&amp;OpCode!B52&amp;"';"&amp;
" fmt:= '"&amp;OpCode!B52&amp;IF(OpCode!C52&lt;&gt;"","'+#9+'"&amp;convertFormat(OpCode!C52),"")&amp;"'"&amp;";"&amp;
" group:= Egroup."&amp;OpCode!D52&amp;";"&amp;
" mode:= Emode."&amp;OpCode!E52&amp;";"&amp;
" len:= "&amp;OpCode!F52&amp;";"&amp;
" cycle:= ["&amp;SUBSTITUTE(OpCode!G52,"|",",")&amp;"];"&amp;
" state:= ["&amp;SUBSTITUTE(OpCode!H52,"|",",")&amp;"];"&amp;
" end;"</f>
        <v>with OpCodes[$32] do begin code:= @op_STA; inst:= 'STA'; fmt:= 'STA'+#9+'%.4x'; group:= Egroup.data; mode:= Emode.abs; len:= 3; cycle:= [4]; state:= [13]; end;</v>
      </c>
    </row>
    <row r="53" spans="1:4" ht="78.75" x14ac:dyDescent="0.25">
      <c r="A53" s="19" t="str">
        <f>"op"&amp;"_"&amp;OpCode!B53&amp;ConvertFormat2(OpCode!C53)</f>
        <v>op_INX_SP</v>
      </c>
      <c r="B53" s="20" t="str">
        <f t="shared" si="0"/>
        <v>procedure TCPU_8085.op_INX_SP;</v>
      </c>
      <c r="C53" s="21" t="str">
        <f>$B53&amp;CHAR(10)&amp;ConvertCode(OpCode!K53,OpCode!I53,OpCode!G53,OpCode!H53)</f>
        <v>procedure TCPU_8085.op_INX_SP;
begin
  SP:= ((SP + 1) and $FFFF);
  F[EFlags.k]:= ?;
  inc(cycles);
  inc(states, 6);
end;</v>
      </c>
      <c r="D53" s="21" t="str">
        <f>"with OpCodes[$"&amp;OpCode!A53&amp;"] do begin" &amp;
" code:= @"&amp;A53&amp;";"&amp;
" inst:= '"&amp;OpCode!B53&amp;"';"&amp;
" fmt:= '"&amp;OpCode!B53&amp;IF(OpCode!C53&lt;&gt;"","'+#9+'"&amp;convertFormat(OpCode!C53),"")&amp;"'"&amp;";"&amp;
" group:= Egroup."&amp;OpCode!D53&amp;";"&amp;
" mode:= Emode."&amp;OpCode!E53&amp;";"&amp;
" len:= "&amp;OpCode!F53&amp;";"&amp;
" cycle:= ["&amp;SUBSTITUTE(OpCode!G53,"|",",")&amp;"];"&amp;
" state:= ["&amp;SUBSTITUTE(OpCode!H53,"|",",")&amp;"];"&amp;
" end;"</f>
        <v>with OpCodes[$33] do begin code:= @op_INX_SP; inst:= 'INX'; fmt:= 'INX'+#9+'SP'; group:= Egroup.arith; mode:= Emode.reg; len:= 1; cycle:= [1]; state:= [6]; end;</v>
      </c>
    </row>
    <row r="54" spans="1:4" ht="168.75" x14ac:dyDescent="0.25">
      <c r="A54" s="19" t="str">
        <f>"op"&amp;"_"&amp;OpCode!B54&amp;ConvertFormat2(OpCode!C54)</f>
        <v>op_INR_M</v>
      </c>
      <c r="B54" s="20" t="str">
        <f t="shared" si="0"/>
        <v>procedure TCPU_8085.op_INR_M;</v>
      </c>
      <c r="C54" s="21" t="str">
        <f>$B54&amp;CHAR(10)&amp;ConvertCode(OpCode!K54,OpCode!I54,OpCode!G54,OpCode!H54)</f>
        <v>procedure TCPU_8085.op_INR_M;
var 
  HL: iSize16;
begin
  HL:= H shl 8 + L;
  WriteMem(HL, ReadMem(HL) + 1);
  F[EFlags.k]:= ?;
  F[EFlags.v]:= ?;
  F[EFlags.z]:= A = 0;
  F[EFlags.p]:= parity_of_bits[A];
  F[EFlags.s]:= (A and $80) = $80;
  F[EFlags.hc]:= (A and $0F) = $0;  
  inc(cycles, 3);
  inc(states, 10);
end;</v>
      </c>
      <c r="D54" s="21" t="str">
        <f>"with OpCodes[$"&amp;OpCode!A54&amp;"] do begin" &amp;
" code:= @"&amp;A54&amp;";"&amp;
" inst:= '"&amp;OpCode!B54&amp;"';"&amp;
" fmt:= '"&amp;OpCode!B54&amp;IF(OpCode!C54&lt;&gt;"","'+#9+'"&amp;convertFormat(OpCode!C54),"")&amp;"'"&amp;";"&amp;
" group:= Egroup."&amp;OpCode!D54&amp;";"&amp;
" mode:= Emode."&amp;OpCode!E54&amp;";"&amp;
" len:= "&amp;OpCode!F54&amp;";"&amp;
" cycle:= ["&amp;SUBSTITUTE(OpCode!G54,"|",",")&amp;"];"&amp;
" state:= ["&amp;SUBSTITUTE(OpCode!H54,"|",",")&amp;"];"&amp;
" end;"</f>
        <v>with OpCodes[$34] do begin code:= @op_INR_M; inst:= 'INR'; fmt:= 'INR'+#9+'M'; group:= Egroup.arith; mode:= Emode.ind_reg; len:= 1; cycle:= [3]; state:= [10]; end;</v>
      </c>
    </row>
    <row r="55" spans="1:4" ht="157.5" x14ac:dyDescent="0.25">
      <c r="A55" s="19" t="str">
        <f>"op"&amp;"_"&amp;OpCode!B55&amp;ConvertFormat2(OpCode!C55)</f>
        <v>op_DCR_M</v>
      </c>
      <c r="B55" s="20" t="str">
        <f t="shared" si="0"/>
        <v>procedure TCPU_8085.op_DCR_M;</v>
      </c>
      <c r="C55" s="21" t="str">
        <f>$B55&amp;CHAR(10)&amp;ConvertCode(OpCode!K55,OpCode!I55,OpCode!G55,OpCode!H55)</f>
        <v>procedure TCPU_8085.op_DCR_M;
var 
  HL: iSize16;
begin
  HL:= H shl 8 + L;
  WriteMem(HL, ReadMem(HL) - 1);
  F[EFlags.v]:= ?;
  F[EFlags.z]:= A = 0;
  F[EFlags.p]:= parity_of_bits[A];
  F[EFlags.s]:= (A and $80) = $80;
  F[EFlags.hc]:= (A and $0F) = $F;  
  inc(cycles, 3);
  inc(states, 10);
end;</v>
      </c>
      <c r="D55" s="21" t="str">
        <f>"with OpCodes[$"&amp;OpCode!A55&amp;"] do begin" &amp;
" code:= @"&amp;A55&amp;";"&amp;
" inst:= '"&amp;OpCode!B55&amp;"';"&amp;
" fmt:= '"&amp;OpCode!B55&amp;IF(OpCode!C55&lt;&gt;"","'+#9+'"&amp;convertFormat(OpCode!C55),"")&amp;"'"&amp;";"&amp;
" group:= Egroup."&amp;OpCode!D55&amp;";"&amp;
" mode:= Emode."&amp;OpCode!E55&amp;";"&amp;
" len:= "&amp;OpCode!F55&amp;";"&amp;
" cycle:= ["&amp;SUBSTITUTE(OpCode!G55,"|",",")&amp;"];"&amp;
" state:= ["&amp;SUBSTITUTE(OpCode!H55,"|",",")&amp;"];"&amp;
" end;"</f>
        <v>with OpCodes[$35] do begin code:= @op_DCR_M; inst:= 'DCR'; fmt:= 'DCR'+#9+'M'; group:= Egroup.arith; mode:= Emode.ind_reg; len:= 1; cycle:= [3]; state:= [10]; end;</v>
      </c>
    </row>
    <row r="56" spans="1:4" ht="135" x14ac:dyDescent="0.25">
      <c r="A56" s="19" t="str">
        <f>"op"&amp;"_"&amp;OpCode!B56&amp;ConvertFormat2(OpCode!C56)</f>
        <v>op_MVI_M</v>
      </c>
      <c r="B56" s="20" t="str">
        <f t="shared" si="0"/>
        <v>procedure TCPU_8085.op_MVI_M;</v>
      </c>
      <c r="C56" s="21" t="str">
        <f>$B56&amp;CHAR(10)&amp;ConvertCode(OpCode!K56,OpCode!I56,OpCode!G56,OpCode!H56)</f>
        <v>procedure TCPU_8085.op_MVI_M;
var 
  HL: iSize16;
  b1: iSize8;
begin
  HL:= H shl 8 + L;
  b1:= ReadMem(PC);
  PC:= (PC+1) and $FFFF;
  WriteMem(HL, b1);
  inc(cycles, 3);
  inc(states, 10);
end;</v>
      </c>
      <c r="D56" s="21" t="str">
        <f>"with OpCodes[$"&amp;OpCode!A56&amp;"] do begin" &amp;
" code:= @"&amp;A56&amp;";"&amp;
" inst:= '"&amp;OpCode!B56&amp;"';"&amp;
" fmt:= '"&amp;OpCode!B56&amp;IF(OpCode!C56&lt;&gt;"","'+#9+'"&amp;convertFormat(OpCode!C56),"")&amp;"'"&amp;";"&amp;
" group:= Egroup."&amp;OpCode!D56&amp;";"&amp;
" mode:= Emode."&amp;OpCode!E56&amp;";"&amp;
" len:= "&amp;OpCode!F56&amp;";"&amp;
" cycle:= ["&amp;SUBSTITUTE(OpCode!G56,"|",",")&amp;"];"&amp;
" state:= ["&amp;SUBSTITUTE(OpCode!H56,"|",",")&amp;"];"&amp;
" end;"</f>
        <v>with OpCodes[$36] do begin code:= @op_MVI_M; inst:= 'MVI'; fmt:= 'MVI'+#9+'M,%.2x'; group:= Egroup.data; mode:= Emode.ind_reg; len:= 2; cycle:= [3]; state:= [10]; end;</v>
      </c>
    </row>
    <row r="57" spans="1:4" ht="78.75" x14ac:dyDescent="0.25">
      <c r="A57" s="19" t="str">
        <f>"op"&amp;"_"&amp;OpCode!B57&amp;ConvertFormat2(OpCode!C57)</f>
        <v>op_STC</v>
      </c>
      <c r="B57" s="20" t="str">
        <f t="shared" si="0"/>
        <v>procedure TCPU_8085.op_STC;</v>
      </c>
      <c r="C57" s="21" t="str">
        <f>$B57&amp;CHAR(10)&amp;ConvertCode(OpCode!K57,OpCode!I57,OpCode!G57,OpCode!H57)</f>
        <v>procedure TCPU_8085.op_STC;
begin
  CY:= ((1) and $FF);
  F[EFlags.cy]:= true;
  inc(cycles);
  inc(states, 4);
end;</v>
      </c>
      <c r="D57" s="21" t="str">
        <f>"with OpCodes[$"&amp;OpCode!A57&amp;"] do begin" &amp;
" code:= @"&amp;A57&amp;";"&amp;
" inst:= '"&amp;OpCode!B57&amp;"';"&amp;
" fmt:= '"&amp;OpCode!B57&amp;IF(OpCode!C57&lt;&gt;"","'+#9+'"&amp;convertFormat(OpCode!C57),"")&amp;"'"&amp;";"&amp;
" group:= Egroup."&amp;OpCode!D57&amp;";"&amp;
" mode:= Emode."&amp;OpCode!E57&amp;";"&amp;
" len:= "&amp;OpCode!F57&amp;";"&amp;
" cycle:= ["&amp;SUBSTITUTE(OpCode!G57,"|",",")&amp;"];"&amp;
" state:= ["&amp;SUBSTITUTE(OpCode!H57,"|",",")&amp;"];"&amp;
" end;"</f>
        <v>with OpCodes[$37] do begin code:= @op_STC; inst:= 'STC'; fmt:= 'STC'; group:= Egroup.logic; mode:= Emode.imp; len:= 1; cycle:= [1]; state:= [4]; end;</v>
      </c>
    </row>
    <row r="58" spans="1:4" ht="157.5" x14ac:dyDescent="0.25">
      <c r="A58" s="19" t="str">
        <f>"op"&amp;"_"&amp;OpCode!B58&amp;ConvertFormat2(OpCode!C58)</f>
        <v>op_LDSI</v>
      </c>
      <c r="B58" s="20" t="str">
        <f t="shared" si="0"/>
        <v>procedure TCPU_8085.op_LDSI;</v>
      </c>
      <c r="C58" s="21" t="str">
        <f>$B58&amp;CHAR(10)&amp;ConvertCode(OpCode!K58,OpCode!I58,OpCode!G58,OpCode!H58)</f>
        <v>procedure TCPU_8085.op_LDSI;
var 
  DE: iSize16;
  b1: iSize8;
begin
  DE:= D shl 8 + E;
  b1:= ReadMem(PC);
  PC:= (PC+1) and $FFFF;
  DE:= ((SP + b1) and $FFFF);
  D:= (DE shr 8) and $FF;
  E:= DE and $FF;
  inc(cycles, 3);
  inc(states, 10);
end;</v>
      </c>
      <c r="D58" s="21" t="str">
        <f>"with OpCodes[$"&amp;OpCode!A58&amp;"] do begin" &amp;
" code:= @"&amp;A58&amp;";"&amp;
" inst:= '"&amp;OpCode!B58&amp;"';"&amp;
" fmt:= '"&amp;OpCode!B58&amp;IF(OpCode!C58&lt;&gt;"","'+#9+'"&amp;convertFormat(OpCode!C58),"")&amp;"'"&amp;";"&amp;
" group:= Egroup."&amp;OpCode!D58&amp;";"&amp;
" mode:= Emode."&amp;OpCode!E58&amp;";"&amp;
" len:= "&amp;OpCode!F58&amp;";"&amp;
" cycle:= ["&amp;SUBSTITUTE(OpCode!G58,"|",",")&amp;"];"&amp;
" state:= ["&amp;SUBSTITUTE(OpCode!H58,"|",",")&amp;"];"&amp;
" end;"</f>
        <v>with OpCodes[$38] do begin code:= @op_LDSI; inst:= 'LDSI'; fmt:= 'LDSI'+#9+'%.2x'; group:= Egroup.data; mode:= Emode.imm; len:= 2; cycle:= [3]; state:= [10]; end;</v>
      </c>
    </row>
    <row r="59" spans="1:4" ht="146.25" x14ac:dyDescent="0.25">
      <c r="A59" s="19" t="str">
        <f>"op"&amp;"_"&amp;OpCode!B59&amp;ConvertFormat2(OpCode!C59)</f>
        <v>op_DAD_SP</v>
      </c>
      <c r="B59" s="20" t="str">
        <f t="shared" si="0"/>
        <v>procedure TCPU_8085.op_DAD_SP;</v>
      </c>
      <c r="C59" s="21" t="str">
        <f>$B59&amp;CHAR(10)&amp;ConvertCode(OpCode!K59,OpCode!I59,OpCode!G59,OpCode!H59)</f>
        <v>procedure TCPU_8085.op_DAD_SP;
var 
  HL: iSize16;
begin
  HL:= H shl 8 + L;
  HL:= ((HL + SP) and $FFFF);
  F[EFlags.v]:= ?;
  F[EFlags.cy]:= (HL and $100) = $100;  
  H:= (HL shr 8) and $FF;
  L:= HL and $FF;
  inc(cycles, 3);
  inc(states, 10);
end;</v>
      </c>
      <c r="D59" s="21" t="str">
        <f>"with OpCodes[$"&amp;OpCode!A59&amp;"] do begin" &amp;
" code:= @"&amp;A59&amp;";"&amp;
" inst:= '"&amp;OpCode!B59&amp;"';"&amp;
" fmt:= '"&amp;OpCode!B59&amp;IF(OpCode!C59&lt;&gt;"","'+#9+'"&amp;convertFormat(OpCode!C59),"")&amp;"'"&amp;";"&amp;
" group:= Egroup."&amp;OpCode!D59&amp;";"&amp;
" mode:= Emode."&amp;OpCode!E59&amp;";"&amp;
" len:= "&amp;OpCode!F59&amp;";"&amp;
" cycle:= ["&amp;SUBSTITUTE(OpCode!G59,"|",",")&amp;"];"&amp;
" state:= ["&amp;SUBSTITUTE(OpCode!H59,"|",",")&amp;"];"&amp;
" end;"</f>
        <v>with OpCodes[$39] do begin code:= @op_DAD_SP; inst:= 'DAD'; fmt:= 'DAD'+#9+'SP'; group:= Egroup.arith; mode:= Emode.reg; len:= 1; cycle:= [3]; state:= [10]; end;</v>
      </c>
    </row>
    <row r="60" spans="1:4" ht="101.25" x14ac:dyDescent="0.25">
      <c r="A60" s="19" t="str">
        <f>"op"&amp;"_"&amp;OpCode!B60&amp;ConvertFormat2(OpCode!C60)</f>
        <v>op_LDA</v>
      </c>
      <c r="B60" s="20" t="str">
        <f t="shared" si="0"/>
        <v>procedure TCPU_8085.op_LDA;</v>
      </c>
      <c r="C60" s="21" t="str">
        <f>$B60&amp;CHAR(10)&amp;ConvertCode(OpCode!K60,OpCode!I60,OpCode!G60,OpCode!H60)</f>
        <v>procedure TCPU_8085.op_LDA;
var 
  adr: iSize16;
begin
  adr:= b2 shl 8 + b1;
  A:= (((adr)) and $FF);
  inc(cycles, 4);
  inc(states, 13);
end;</v>
      </c>
      <c r="D60" s="21" t="str">
        <f>"with OpCodes[$"&amp;OpCode!A60&amp;"] do begin" &amp;
" code:= @"&amp;A60&amp;";"&amp;
" inst:= '"&amp;OpCode!B60&amp;"';"&amp;
" fmt:= '"&amp;OpCode!B60&amp;IF(OpCode!C60&lt;&gt;"","'+#9+'"&amp;convertFormat(OpCode!C60),"")&amp;"'"&amp;";"&amp;
" group:= Egroup."&amp;OpCode!D60&amp;";"&amp;
" mode:= Emode."&amp;OpCode!E60&amp;";"&amp;
" len:= "&amp;OpCode!F60&amp;";"&amp;
" cycle:= ["&amp;SUBSTITUTE(OpCode!G60,"|",",")&amp;"];"&amp;
" state:= ["&amp;SUBSTITUTE(OpCode!H60,"|",",")&amp;"];"&amp;
" end;"</f>
        <v>with OpCodes[$3A] do begin code:= @op_LDA; inst:= 'LDA'; fmt:= 'LDA'+#9+'%.4x'; group:= Egroup.data; mode:= Emode.abs; len:= 3; cycle:= [4]; state:= [13]; end;</v>
      </c>
    </row>
    <row r="61" spans="1:4" ht="78.75" x14ac:dyDescent="0.25">
      <c r="A61" s="19" t="str">
        <f>"op"&amp;"_"&amp;OpCode!B61&amp;ConvertFormat2(OpCode!C61)</f>
        <v>op_DCX_SP</v>
      </c>
      <c r="B61" s="20" t="str">
        <f t="shared" si="0"/>
        <v>procedure TCPU_8085.op_DCX_SP;</v>
      </c>
      <c r="C61" s="21" t="str">
        <f>$B61&amp;CHAR(10)&amp;ConvertCode(OpCode!K61,OpCode!I61,OpCode!G61,OpCode!H61)</f>
        <v>procedure TCPU_8085.op_DCX_SP;
begin
  SP:= ((SP - 1) and $FFFF);
  F[EFlags.k]:= ?;
  inc(cycles);
  inc(states, 6);
end;</v>
      </c>
      <c r="D61" s="21" t="str">
        <f>"with OpCodes[$"&amp;OpCode!A61&amp;"] do begin" &amp;
" code:= @"&amp;A61&amp;";"&amp;
" inst:= '"&amp;OpCode!B61&amp;"';"&amp;
" fmt:= '"&amp;OpCode!B61&amp;IF(OpCode!C61&lt;&gt;"","'+#9+'"&amp;convertFormat(OpCode!C61),"")&amp;"'"&amp;";"&amp;
" group:= Egroup."&amp;OpCode!D61&amp;";"&amp;
" mode:= Emode."&amp;OpCode!E61&amp;";"&amp;
" len:= "&amp;OpCode!F61&amp;";"&amp;
" cycle:= ["&amp;SUBSTITUTE(OpCode!G61,"|",",")&amp;"];"&amp;
" state:= ["&amp;SUBSTITUTE(OpCode!H61,"|",",")&amp;"];"&amp;
" end;"</f>
        <v>with OpCodes[$3B] do begin code:= @op_DCX_SP; inst:= 'DCX'; fmt:= 'DCX'+#9+'SP'; group:= Egroup.arith; mode:= Emode.reg; len:= 1; cycle:= [1]; state:= [6]; end;</v>
      </c>
    </row>
    <row r="62" spans="1:4" ht="135" x14ac:dyDescent="0.25">
      <c r="A62" s="19" t="str">
        <f>"op"&amp;"_"&amp;OpCode!B62&amp;ConvertFormat2(OpCode!C62)</f>
        <v>op_INR_A</v>
      </c>
      <c r="B62" s="20" t="str">
        <f t="shared" si="0"/>
        <v>procedure TCPU_8085.op_INR_A;</v>
      </c>
      <c r="C62" s="21" t="str">
        <f>$B62&amp;CHAR(10)&amp;ConvertCode(OpCode!K62,OpCode!I62,OpCode!G62,OpCode!H62)</f>
        <v>procedure TCPU_8085.op_INR_A;
begin
  A:= ((A + 1) and $FF);
  F[EFlags.k]:= ?;
  F[EFlags.v]:= ?;
  F[EFlags.z]:= A = 0;
  F[EFlags.p]:= parity_of_bits[A];
  F[EFlags.s]:= (A and $80) = $80;
  F[EFlags.hc]:= (A and $0F) = $0;  
  inc(cycles);
  inc(states, 4);
end;</v>
      </c>
      <c r="D62" s="21" t="str">
        <f>"with OpCodes[$"&amp;OpCode!A62&amp;"] do begin" &amp;
" code:= @"&amp;A62&amp;";"&amp;
" inst:= '"&amp;OpCode!B62&amp;"';"&amp;
" fmt:= '"&amp;OpCode!B62&amp;IF(OpCode!C62&lt;&gt;"","'+#9+'"&amp;convertFormat(OpCode!C62),"")&amp;"'"&amp;";"&amp;
" group:= Egroup."&amp;OpCode!D62&amp;";"&amp;
" mode:= Emode."&amp;OpCode!E62&amp;";"&amp;
" len:= "&amp;OpCode!F62&amp;";"&amp;
" cycle:= ["&amp;SUBSTITUTE(OpCode!G62,"|",",")&amp;"];"&amp;
" state:= ["&amp;SUBSTITUTE(OpCode!H62,"|",",")&amp;"];"&amp;
" end;"</f>
        <v>with OpCodes[$3C] do begin code:= @op_INR_A; inst:= 'INR'; fmt:= 'INR'+#9+'A'; group:= Egroup.arith; mode:= Emode.reg; len:= 1; cycle:= [1]; state:= [4]; end;</v>
      </c>
    </row>
    <row r="63" spans="1:4" ht="123.75" x14ac:dyDescent="0.25">
      <c r="A63" s="19" t="str">
        <f>"op"&amp;"_"&amp;OpCode!B63&amp;ConvertFormat2(OpCode!C63)</f>
        <v>op_DCR_A</v>
      </c>
      <c r="B63" s="20" t="str">
        <f t="shared" si="0"/>
        <v>procedure TCPU_8085.op_DCR_A;</v>
      </c>
      <c r="C63" s="21" t="str">
        <f>$B63&amp;CHAR(10)&amp;ConvertCode(OpCode!K63,OpCode!I63,OpCode!G63,OpCode!H63)</f>
        <v>procedure TCPU_8085.op_DCR_A;
begin
  A:= ((A - 1) and $FF);
  F[EFlags.v]:= ?;
  F[EFlags.z]:= A = 0;
  F[EFlags.p]:= parity_of_bits[A];
  F[EFlags.s]:= (A and $80) = $80;
  F[EFlags.hc]:= (A and $0F) = $F;  
  inc(cycles);
  inc(states, 4);
end;</v>
      </c>
      <c r="D63" s="21" t="str">
        <f>"with OpCodes[$"&amp;OpCode!A63&amp;"] do begin" &amp;
" code:= @"&amp;A63&amp;";"&amp;
" inst:= '"&amp;OpCode!B63&amp;"';"&amp;
" fmt:= '"&amp;OpCode!B63&amp;IF(OpCode!C63&lt;&gt;"","'+#9+'"&amp;convertFormat(OpCode!C63),"")&amp;"'"&amp;";"&amp;
" group:= Egroup."&amp;OpCode!D63&amp;";"&amp;
" mode:= Emode."&amp;OpCode!E63&amp;";"&amp;
" len:= "&amp;OpCode!F63&amp;";"&amp;
" cycle:= ["&amp;SUBSTITUTE(OpCode!G63,"|",",")&amp;"];"&amp;
" state:= ["&amp;SUBSTITUTE(OpCode!H63,"|",",")&amp;"];"&amp;
" end;"</f>
        <v>with OpCodes[$3D] do begin code:= @op_DCR_A; inst:= 'DCR'; fmt:= 'DCR'+#9+'A'; group:= Egroup.arith; mode:= Emode.reg; len:= 1; cycle:= [1]; state:= [4]; end;</v>
      </c>
    </row>
    <row r="64" spans="1:4" ht="112.5" x14ac:dyDescent="0.25">
      <c r="A64" s="19" t="str">
        <f>"op"&amp;"_"&amp;OpCode!B64&amp;ConvertFormat2(OpCode!C64)</f>
        <v>op_MVI_A</v>
      </c>
      <c r="B64" s="20" t="str">
        <f t="shared" si="0"/>
        <v>procedure TCPU_8085.op_MVI_A;</v>
      </c>
      <c r="C64" s="21" t="str">
        <f>$B64&amp;CHAR(10)&amp;ConvertCode(OpCode!K64,OpCode!I64,OpCode!G64,OpCode!H64)</f>
        <v>procedure TCPU_8085.op_MVI_A;
var 
  b1: iSize8;
begin
  b1:= ReadMem(PC);
  PC:= (PC+1) and $FFFF;
  A:= b1;
  inc(cycles, 2);
  inc(states, 7);
end;</v>
      </c>
      <c r="D64" s="21" t="str">
        <f>"with OpCodes[$"&amp;OpCode!A64&amp;"] do begin" &amp;
" code:= @"&amp;A64&amp;";"&amp;
" inst:= '"&amp;OpCode!B64&amp;"';"&amp;
" fmt:= '"&amp;OpCode!B64&amp;IF(OpCode!C64&lt;&gt;"","'+#9+'"&amp;convertFormat(OpCode!C64),"")&amp;"'"&amp;";"&amp;
" group:= Egroup."&amp;OpCode!D64&amp;";"&amp;
" mode:= Emode."&amp;OpCode!E64&amp;";"&amp;
" len:= "&amp;OpCode!F64&amp;";"&amp;
" cycle:= ["&amp;SUBSTITUTE(OpCode!G64,"|",",")&amp;"];"&amp;
" state:= ["&amp;SUBSTITUTE(OpCode!H64,"|",",")&amp;"];"&amp;
" end;"</f>
        <v>with OpCodes[$3E] do begin code:= @op_MVI_A; inst:= 'MVI'; fmt:= 'MVI'+#9+'A,%.2x'; group:= Egroup.data; mode:= Emode.imm; len:= 2; cycle:= [2]; state:= [7]; end;</v>
      </c>
    </row>
    <row r="65" spans="1:4" ht="78.75" x14ac:dyDescent="0.25">
      <c r="A65" s="19" t="str">
        <f>"op"&amp;"_"&amp;OpCode!B65&amp;ConvertFormat2(OpCode!C65)</f>
        <v>op_CMC</v>
      </c>
      <c r="B65" s="20" t="str">
        <f t="shared" si="0"/>
        <v>procedure TCPU_8085.op_CMC;</v>
      </c>
      <c r="C65" s="21" t="str">
        <f>$B65&amp;CHAR(10)&amp;ConvertCode(OpCode!K65,OpCode!I65,OpCode!G65,OpCode!H65)</f>
        <v>procedure TCPU_8085.op_CMC;
begin
  CY:= ((!CY) and $FF);
  F[EFlags.cy]:= (CY and $100) = $100;  
  inc(cycles);
  inc(states, 4);
end;</v>
      </c>
      <c r="D65" s="21" t="str">
        <f>"with OpCodes[$"&amp;OpCode!A65&amp;"] do begin" &amp;
" code:= @"&amp;A65&amp;";"&amp;
" inst:= '"&amp;OpCode!B65&amp;"';"&amp;
" fmt:= '"&amp;OpCode!B65&amp;IF(OpCode!C65&lt;&gt;"","'+#9+'"&amp;convertFormat(OpCode!C65),"")&amp;"'"&amp;";"&amp;
" group:= Egroup."&amp;OpCode!D65&amp;";"&amp;
" mode:= Emode."&amp;OpCode!E65&amp;";"&amp;
" len:= "&amp;OpCode!F65&amp;";"&amp;
" cycle:= ["&amp;SUBSTITUTE(OpCode!G65,"|",",")&amp;"];"&amp;
" state:= ["&amp;SUBSTITUTE(OpCode!H65,"|",",")&amp;"];"&amp;
" end;"</f>
        <v>with OpCodes[$3F] do begin code:= @op_CMC; inst:= 'CMC'; fmt:= 'CMC'; group:= Egroup.logic; mode:= Emode.imp; len:= 1; cycle:= [1]; state:= [4]; end;</v>
      </c>
    </row>
    <row r="66" spans="1:4" ht="67.5" x14ac:dyDescent="0.25">
      <c r="A66" s="19" t="str">
        <f>"op"&amp;"_"&amp;OpCode!B66&amp;ConvertFormat2(OpCode!C66)</f>
        <v>op_MOV_BB</v>
      </c>
      <c r="B66" s="20" t="str">
        <f t="shared" si="0"/>
        <v>procedure TCPU_8085.op_MOV_BB;</v>
      </c>
      <c r="C66" s="21" t="str">
        <f>$B66&amp;CHAR(10)&amp;ConvertCode(OpCode!K66,OpCode!I66,OpCode!G66,OpCode!H66)</f>
        <v>procedure TCPU_8085.op_MOV_BB;
begin
  B:= (B and $FF);
  inc(cycles);
  inc(states, 4);
end;</v>
      </c>
      <c r="D66" s="21" t="str">
        <f>"with OpCodes[$"&amp;OpCode!A66&amp;"] do begin" &amp;
" code:= @"&amp;A66&amp;";"&amp;
" inst:= '"&amp;OpCode!B66&amp;"';"&amp;
" fmt:= '"&amp;OpCode!B66&amp;IF(OpCode!C66&lt;&gt;"","'+#9+'"&amp;convertFormat(OpCode!C66),"")&amp;"'"&amp;";"&amp;
" group:= Egroup."&amp;OpCode!D66&amp;";"&amp;
" mode:= Emode."&amp;OpCode!E66&amp;";"&amp;
" len:= "&amp;OpCode!F66&amp;";"&amp;
" cycle:= ["&amp;SUBSTITUTE(OpCode!G66,"|",",")&amp;"];"&amp;
" state:= ["&amp;SUBSTITUTE(OpCode!H66,"|",",")&amp;"];"&amp;
" end;"</f>
        <v>with OpCodes[$40] do begin code:= @op_MOV_BB; inst:= 'MOV'; fmt:= 'MOV'+#9+'B,B'; group:= Egroup.data; mode:= Emode.reg; len:= 1; cycle:= [1]; state:= [4]; end;</v>
      </c>
    </row>
    <row r="67" spans="1:4" ht="67.5" x14ac:dyDescent="0.25">
      <c r="A67" s="19" t="str">
        <f>"op"&amp;"_"&amp;OpCode!B67&amp;ConvertFormat2(OpCode!C67)</f>
        <v>op_MOV_BC</v>
      </c>
      <c r="B67" s="20" t="str">
        <f t="shared" ref="B67:B130" si="1">"procedure TCPU_8085."&amp;$A67&amp;";"</f>
        <v>procedure TCPU_8085.op_MOV_BC;</v>
      </c>
      <c r="C67" s="21" t="str">
        <f>$B67&amp;CHAR(10)&amp;ConvertCode(OpCode!K67,OpCode!I67,OpCode!G67,OpCode!H67)</f>
        <v>procedure TCPU_8085.op_MOV_BC;
begin
  B:= (C and $FF);
  inc(cycles);
  inc(states, 4);
end;</v>
      </c>
      <c r="D67" s="21" t="str">
        <f>"with OpCodes[$"&amp;OpCode!A67&amp;"] do begin" &amp;
" code:= @"&amp;A67&amp;";"&amp;
" inst:= '"&amp;OpCode!B67&amp;"';"&amp;
" fmt:= '"&amp;OpCode!B67&amp;IF(OpCode!C67&lt;&gt;"","'+#9+'"&amp;convertFormat(OpCode!C67),"")&amp;"'"&amp;";"&amp;
" group:= Egroup."&amp;OpCode!D67&amp;";"&amp;
" mode:= Emode."&amp;OpCode!E67&amp;";"&amp;
" len:= "&amp;OpCode!F67&amp;";"&amp;
" cycle:= ["&amp;SUBSTITUTE(OpCode!G67,"|",",")&amp;"];"&amp;
" state:= ["&amp;SUBSTITUTE(OpCode!H67,"|",",")&amp;"];"&amp;
" end;"</f>
        <v>with OpCodes[$41] do begin code:= @op_MOV_BC; inst:= 'MOV'; fmt:= 'MOV'+#9+'B,C'; group:= Egroup.data; mode:= Emode.reg; len:= 1; cycle:= [1]; state:= [4]; end;</v>
      </c>
    </row>
    <row r="68" spans="1:4" ht="67.5" x14ac:dyDescent="0.25">
      <c r="A68" s="19" t="str">
        <f>"op"&amp;"_"&amp;OpCode!B68&amp;ConvertFormat2(OpCode!C68)</f>
        <v>op_MOV_BD</v>
      </c>
      <c r="B68" s="20" t="str">
        <f t="shared" si="1"/>
        <v>procedure TCPU_8085.op_MOV_BD;</v>
      </c>
      <c r="C68" s="21" t="str">
        <f>$B68&amp;CHAR(10)&amp;ConvertCode(OpCode!K68,OpCode!I68,OpCode!G68,OpCode!H68)</f>
        <v>procedure TCPU_8085.op_MOV_BD;
begin
  B:= (D and $FF);
  inc(cycles);
  inc(states, 4);
end;</v>
      </c>
      <c r="D68" s="21" t="str">
        <f>"with OpCodes[$"&amp;OpCode!A68&amp;"] do begin" &amp;
" code:= @"&amp;A68&amp;";"&amp;
" inst:= '"&amp;OpCode!B68&amp;"';"&amp;
" fmt:= '"&amp;OpCode!B68&amp;IF(OpCode!C68&lt;&gt;"","'+#9+'"&amp;convertFormat(OpCode!C68),"")&amp;"'"&amp;";"&amp;
" group:= Egroup."&amp;OpCode!D68&amp;";"&amp;
" mode:= Emode."&amp;OpCode!E68&amp;";"&amp;
" len:= "&amp;OpCode!F68&amp;";"&amp;
" cycle:= ["&amp;SUBSTITUTE(OpCode!G68,"|",",")&amp;"];"&amp;
" state:= ["&amp;SUBSTITUTE(OpCode!H68,"|",",")&amp;"];"&amp;
" end;"</f>
        <v>with OpCodes[$42] do begin code:= @op_MOV_BD; inst:= 'MOV'; fmt:= 'MOV'+#9+'B,D'; group:= Egroup.data; mode:= Emode.reg; len:= 1; cycle:= [1]; state:= [4]; end;</v>
      </c>
    </row>
    <row r="69" spans="1:4" ht="67.5" x14ac:dyDescent="0.25">
      <c r="A69" s="19" t="str">
        <f>"op"&amp;"_"&amp;OpCode!B69&amp;ConvertFormat2(OpCode!C69)</f>
        <v>op_MOV_BE</v>
      </c>
      <c r="B69" s="20" t="str">
        <f t="shared" si="1"/>
        <v>procedure TCPU_8085.op_MOV_BE;</v>
      </c>
      <c r="C69" s="21" t="str">
        <f>$B69&amp;CHAR(10)&amp;ConvertCode(OpCode!K69,OpCode!I69,OpCode!G69,OpCode!H69)</f>
        <v>procedure TCPU_8085.op_MOV_BE;
begin
  B:= (E and $FF);
  inc(cycles);
  inc(states, 4);
end;</v>
      </c>
      <c r="D69" s="21" t="str">
        <f>"with OpCodes[$"&amp;OpCode!A69&amp;"] do begin" &amp;
" code:= @"&amp;A69&amp;";"&amp;
" inst:= '"&amp;OpCode!B69&amp;"';"&amp;
" fmt:= '"&amp;OpCode!B69&amp;IF(OpCode!C69&lt;&gt;"","'+#9+'"&amp;convertFormat(OpCode!C69),"")&amp;"'"&amp;";"&amp;
" group:= Egroup."&amp;OpCode!D69&amp;";"&amp;
" mode:= Emode."&amp;OpCode!E69&amp;";"&amp;
" len:= "&amp;OpCode!F69&amp;";"&amp;
" cycle:= ["&amp;SUBSTITUTE(OpCode!G69,"|",",")&amp;"];"&amp;
" state:= ["&amp;SUBSTITUTE(OpCode!H69,"|",",")&amp;"];"&amp;
" end;"</f>
        <v>with OpCodes[$43] do begin code:= @op_MOV_BE; inst:= 'MOV'; fmt:= 'MOV'+#9+'B,E'; group:= Egroup.data; mode:= Emode.reg; len:= 1; cycle:= [1]; state:= [4]; end;</v>
      </c>
    </row>
    <row r="70" spans="1:4" ht="67.5" x14ac:dyDescent="0.25">
      <c r="A70" s="19" t="str">
        <f>"op"&amp;"_"&amp;OpCode!B70&amp;ConvertFormat2(OpCode!C70)</f>
        <v>op_MOV_BH</v>
      </c>
      <c r="B70" s="20" t="str">
        <f t="shared" si="1"/>
        <v>procedure TCPU_8085.op_MOV_BH;</v>
      </c>
      <c r="C70" s="21" t="str">
        <f>$B70&amp;CHAR(10)&amp;ConvertCode(OpCode!K70,OpCode!I70,OpCode!G70,OpCode!H70)</f>
        <v>procedure TCPU_8085.op_MOV_BH;
begin
  B:= (H and $FF);
  inc(cycles);
  inc(states, 4);
end;</v>
      </c>
      <c r="D70" s="21" t="str">
        <f>"with OpCodes[$"&amp;OpCode!A70&amp;"] do begin" &amp;
" code:= @"&amp;A70&amp;";"&amp;
" inst:= '"&amp;OpCode!B70&amp;"';"&amp;
" fmt:= '"&amp;OpCode!B70&amp;IF(OpCode!C70&lt;&gt;"","'+#9+'"&amp;convertFormat(OpCode!C70),"")&amp;"'"&amp;";"&amp;
" group:= Egroup."&amp;OpCode!D70&amp;";"&amp;
" mode:= Emode."&amp;OpCode!E70&amp;";"&amp;
" len:= "&amp;OpCode!F70&amp;";"&amp;
" cycle:= ["&amp;SUBSTITUTE(OpCode!G70,"|",",")&amp;"];"&amp;
" state:= ["&amp;SUBSTITUTE(OpCode!H70,"|",",")&amp;"];"&amp;
" end;"</f>
        <v>with OpCodes[$44] do begin code:= @op_MOV_BH; inst:= 'MOV'; fmt:= 'MOV'+#9+'B,H'; group:= Egroup.data; mode:= Emode.reg; len:= 1; cycle:= [1]; state:= [4]; end;</v>
      </c>
    </row>
    <row r="71" spans="1:4" ht="67.5" x14ac:dyDescent="0.25">
      <c r="A71" s="19" t="str">
        <f>"op"&amp;"_"&amp;OpCode!B71&amp;ConvertFormat2(OpCode!C71)</f>
        <v>op_MOV_BL</v>
      </c>
      <c r="B71" s="20" t="str">
        <f t="shared" si="1"/>
        <v>procedure TCPU_8085.op_MOV_BL;</v>
      </c>
      <c r="C71" s="21" t="str">
        <f>$B71&amp;CHAR(10)&amp;ConvertCode(OpCode!K71,OpCode!I71,OpCode!G71,OpCode!H71)</f>
        <v>procedure TCPU_8085.op_MOV_BL;
begin
  B:= (L and $FF);
  inc(cycles);
  inc(states, 4);
end;</v>
      </c>
      <c r="D71" s="21" t="str">
        <f>"with OpCodes[$"&amp;OpCode!A71&amp;"] do begin" &amp;
" code:= @"&amp;A71&amp;";"&amp;
" inst:= '"&amp;OpCode!B71&amp;"';"&amp;
" fmt:= '"&amp;OpCode!B71&amp;IF(OpCode!C71&lt;&gt;"","'+#9+'"&amp;convertFormat(OpCode!C71),"")&amp;"'"&amp;";"&amp;
" group:= Egroup."&amp;OpCode!D71&amp;";"&amp;
" mode:= Emode."&amp;OpCode!E71&amp;";"&amp;
" len:= "&amp;OpCode!F71&amp;";"&amp;
" cycle:= ["&amp;SUBSTITUTE(OpCode!G71,"|",",")&amp;"];"&amp;
" state:= ["&amp;SUBSTITUTE(OpCode!H71,"|",",")&amp;"];"&amp;
" end;"</f>
        <v>with OpCodes[$45] do begin code:= @op_MOV_BL; inst:= 'MOV'; fmt:= 'MOV'+#9+'B,L'; group:= Egroup.data; mode:= Emode.reg; len:= 1; cycle:= [1]; state:= [4]; end;</v>
      </c>
    </row>
    <row r="72" spans="1:4" ht="101.25" x14ac:dyDescent="0.25">
      <c r="A72" s="19" t="str">
        <f>"op"&amp;"_"&amp;OpCode!B72&amp;ConvertFormat2(OpCode!C72)</f>
        <v>op_MOV_BM</v>
      </c>
      <c r="B72" s="20" t="str">
        <f t="shared" si="1"/>
        <v>procedure TCPU_8085.op_MOV_BM;</v>
      </c>
      <c r="C72" s="21" t="str">
        <f>$B72&amp;CHAR(10)&amp;ConvertCode(OpCode!K72,OpCode!I72,OpCode!G72,OpCode!H72)</f>
        <v>procedure TCPU_8085.op_MOV_BM;
var 
  HL: iSize16;
begin
  HL:= H shl 8 + L;
  B:= ReadMem(HL);
  inc(cycles, 2);
  inc(states, 7);
end;</v>
      </c>
      <c r="D72" s="21" t="str">
        <f>"with OpCodes[$"&amp;OpCode!A72&amp;"] do begin" &amp;
" code:= @"&amp;A72&amp;";"&amp;
" inst:= '"&amp;OpCode!B72&amp;"';"&amp;
" fmt:= '"&amp;OpCode!B72&amp;IF(OpCode!C72&lt;&gt;"","'+#9+'"&amp;convertFormat(OpCode!C72),"")&amp;"'"&amp;";"&amp;
" group:= Egroup."&amp;OpCode!D72&amp;";"&amp;
" mode:= Emode."&amp;OpCode!E72&amp;";"&amp;
" len:= "&amp;OpCode!F72&amp;";"&amp;
" cycle:= ["&amp;SUBSTITUTE(OpCode!G72,"|",",")&amp;"];"&amp;
" state:= ["&amp;SUBSTITUTE(OpCode!H72,"|",",")&amp;"];"&amp;
" end;"</f>
        <v>with OpCodes[$46] do begin code:= @op_MOV_BM; inst:= 'MOV'; fmt:= 'MOV'+#9+'B,M'; group:= Egroup.data; mode:= Emode.ind_reg; len:= 1; cycle:= [2]; state:= [7]; end;</v>
      </c>
    </row>
    <row r="73" spans="1:4" ht="67.5" x14ac:dyDescent="0.25">
      <c r="A73" s="19" t="str">
        <f>"op"&amp;"_"&amp;OpCode!B73&amp;ConvertFormat2(OpCode!C73)</f>
        <v>op_MOV_BA</v>
      </c>
      <c r="B73" s="20" t="str">
        <f t="shared" si="1"/>
        <v>procedure TCPU_8085.op_MOV_BA;</v>
      </c>
      <c r="C73" s="21" t="str">
        <f>$B73&amp;CHAR(10)&amp;ConvertCode(OpCode!K73,OpCode!I73,OpCode!G73,OpCode!H73)</f>
        <v>procedure TCPU_8085.op_MOV_BA;
begin
  B:= (A and $FF);
  inc(cycles);
  inc(states, 4);
end;</v>
      </c>
      <c r="D73" s="21" t="str">
        <f>"with OpCodes[$"&amp;OpCode!A73&amp;"] do begin" &amp;
" code:= @"&amp;A73&amp;";"&amp;
" inst:= '"&amp;OpCode!B73&amp;"';"&amp;
" fmt:= '"&amp;OpCode!B73&amp;IF(OpCode!C73&lt;&gt;"","'+#9+'"&amp;convertFormat(OpCode!C73),"")&amp;"'"&amp;";"&amp;
" group:= Egroup."&amp;OpCode!D73&amp;";"&amp;
" mode:= Emode."&amp;OpCode!E73&amp;";"&amp;
" len:= "&amp;OpCode!F73&amp;";"&amp;
" cycle:= ["&amp;SUBSTITUTE(OpCode!G73,"|",",")&amp;"];"&amp;
" state:= ["&amp;SUBSTITUTE(OpCode!H73,"|",",")&amp;"];"&amp;
" end;"</f>
        <v>with OpCodes[$47] do begin code:= @op_MOV_BA; inst:= 'MOV'; fmt:= 'MOV'+#9+'B,A'; group:= Egroup.data; mode:= Emode.reg; len:= 1; cycle:= [1]; state:= [4]; end;</v>
      </c>
    </row>
    <row r="74" spans="1:4" ht="67.5" x14ac:dyDescent="0.25">
      <c r="A74" s="19" t="str">
        <f>"op"&amp;"_"&amp;OpCode!B74&amp;ConvertFormat2(OpCode!C74)</f>
        <v>op_MOV_CB</v>
      </c>
      <c r="B74" s="20" t="str">
        <f t="shared" si="1"/>
        <v>procedure TCPU_8085.op_MOV_CB;</v>
      </c>
      <c r="C74" s="21" t="str">
        <f>$B74&amp;CHAR(10)&amp;ConvertCode(OpCode!K74,OpCode!I74,OpCode!G74,OpCode!H74)</f>
        <v>procedure TCPU_8085.op_MOV_CB;
begin
  C:= (B and $FF);
  inc(cycles);
  inc(states, 4);
end;</v>
      </c>
      <c r="D74" s="21" t="str">
        <f>"with OpCodes[$"&amp;OpCode!A74&amp;"] do begin" &amp;
" code:= @"&amp;A74&amp;";"&amp;
" inst:= '"&amp;OpCode!B74&amp;"';"&amp;
" fmt:= '"&amp;OpCode!B74&amp;IF(OpCode!C74&lt;&gt;"","'+#9+'"&amp;convertFormat(OpCode!C74),"")&amp;"'"&amp;";"&amp;
" group:= Egroup."&amp;OpCode!D74&amp;";"&amp;
" mode:= Emode."&amp;OpCode!E74&amp;";"&amp;
" len:= "&amp;OpCode!F74&amp;";"&amp;
" cycle:= ["&amp;SUBSTITUTE(OpCode!G74,"|",",")&amp;"];"&amp;
" state:= ["&amp;SUBSTITUTE(OpCode!H74,"|",",")&amp;"];"&amp;
" end;"</f>
        <v>with OpCodes[$48] do begin code:= @op_MOV_CB; inst:= 'MOV'; fmt:= 'MOV'+#9+'C,B'; group:= Egroup.data; mode:= Emode.reg; len:= 1; cycle:= [1]; state:= [4]; end;</v>
      </c>
    </row>
    <row r="75" spans="1:4" ht="67.5" x14ac:dyDescent="0.25">
      <c r="A75" s="19" t="str">
        <f>"op"&amp;"_"&amp;OpCode!B75&amp;ConvertFormat2(OpCode!C75)</f>
        <v>op_MOV_CC</v>
      </c>
      <c r="B75" s="20" t="str">
        <f t="shared" si="1"/>
        <v>procedure TCPU_8085.op_MOV_CC;</v>
      </c>
      <c r="C75" s="21" t="str">
        <f>$B75&amp;CHAR(10)&amp;ConvertCode(OpCode!K75,OpCode!I75,OpCode!G75,OpCode!H75)</f>
        <v>procedure TCPU_8085.op_MOV_CC;
begin
  C:= (C and $FF);
  inc(cycles);
  inc(states, 4);
end;</v>
      </c>
      <c r="D75" s="21" t="str">
        <f>"with OpCodes[$"&amp;OpCode!A75&amp;"] do begin" &amp;
" code:= @"&amp;A75&amp;";"&amp;
" inst:= '"&amp;OpCode!B75&amp;"';"&amp;
" fmt:= '"&amp;OpCode!B75&amp;IF(OpCode!C75&lt;&gt;"","'+#9+'"&amp;convertFormat(OpCode!C75),"")&amp;"'"&amp;";"&amp;
" group:= Egroup."&amp;OpCode!D75&amp;";"&amp;
" mode:= Emode."&amp;OpCode!E75&amp;";"&amp;
" len:= "&amp;OpCode!F75&amp;";"&amp;
" cycle:= ["&amp;SUBSTITUTE(OpCode!G75,"|",",")&amp;"];"&amp;
" state:= ["&amp;SUBSTITUTE(OpCode!H75,"|",",")&amp;"];"&amp;
" end;"</f>
        <v>with OpCodes[$49] do begin code:= @op_MOV_CC; inst:= 'MOV'; fmt:= 'MOV'+#9+'C,C'; group:= Egroup.data; mode:= Emode.reg; len:= 1; cycle:= [1]; state:= [4]; end;</v>
      </c>
    </row>
    <row r="76" spans="1:4" ht="67.5" x14ac:dyDescent="0.25">
      <c r="A76" s="19" t="str">
        <f>"op"&amp;"_"&amp;OpCode!B76&amp;ConvertFormat2(OpCode!C76)</f>
        <v>op_MOV_CD</v>
      </c>
      <c r="B76" s="20" t="str">
        <f t="shared" si="1"/>
        <v>procedure TCPU_8085.op_MOV_CD;</v>
      </c>
      <c r="C76" s="21" t="str">
        <f>$B76&amp;CHAR(10)&amp;ConvertCode(OpCode!K76,OpCode!I76,OpCode!G76,OpCode!H76)</f>
        <v>procedure TCPU_8085.op_MOV_CD;
begin
  C:= (D and $FF);
  inc(cycles);
  inc(states, 4);
end;</v>
      </c>
      <c r="D76" s="21" t="str">
        <f>"with OpCodes[$"&amp;OpCode!A76&amp;"] do begin" &amp;
" code:= @"&amp;A76&amp;";"&amp;
" inst:= '"&amp;OpCode!B76&amp;"';"&amp;
" fmt:= '"&amp;OpCode!B76&amp;IF(OpCode!C76&lt;&gt;"","'+#9+'"&amp;convertFormat(OpCode!C76),"")&amp;"'"&amp;";"&amp;
" group:= Egroup."&amp;OpCode!D76&amp;";"&amp;
" mode:= Emode."&amp;OpCode!E76&amp;";"&amp;
" len:= "&amp;OpCode!F76&amp;";"&amp;
" cycle:= ["&amp;SUBSTITUTE(OpCode!G76,"|",",")&amp;"];"&amp;
" state:= ["&amp;SUBSTITUTE(OpCode!H76,"|",",")&amp;"];"&amp;
" end;"</f>
        <v>with OpCodes[$4A] do begin code:= @op_MOV_CD; inst:= 'MOV'; fmt:= 'MOV'+#9+'C,D'; group:= Egroup.data; mode:= Emode.reg; len:= 1; cycle:= [1]; state:= [4]; end;</v>
      </c>
    </row>
    <row r="77" spans="1:4" ht="67.5" x14ac:dyDescent="0.25">
      <c r="A77" s="19" t="str">
        <f>"op"&amp;"_"&amp;OpCode!B77&amp;ConvertFormat2(OpCode!C77)</f>
        <v>op_MOV_CE</v>
      </c>
      <c r="B77" s="20" t="str">
        <f t="shared" si="1"/>
        <v>procedure TCPU_8085.op_MOV_CE;</v>
      </c>
      <c r="C77" s="21" t="str">
        <f>$B77&amp;CHAR(10)&amp;ConvertCode(OpCode!K77,OpCode!I77,OpCode!G77,OpCode!H77)</f>
        <v>procedure TCPU_8085.op_MOV_CE;
begin
  C:= (E and $FF);
  inc(cycles);
  inc(states, 4);
end;</v>
      </c>
      <c r="D77" s="21" t="str">
        <f>"with OpCodes[$"&amp;OpCode!A77&amp;"] do begin" &amp;
" code:= @"&amp;A77&amp;";"&amp;
" inst:= '"&amp;OpCode!B77&amp;"';"&amp;
" fmt:= '"&amp;OpCode!B77&amp;IF(OpCode!C77&lt;&gt;"","'+#9+'"&amp;convertFormat(OpCode!C77),"")&amp;"'"&amp;";"&amp;
" group:= Egroup."&amp;OpCode!D77&amp;";"&amp;
" mode:= Emode."&amp;OpCode!E77&amp;";"&amp;
" len:= "&amp;OpCode!F77&amp;";"&amp;
" cycle:= ["&amp;SUBSTITUTE(OpCode!G77,"|",",")&amp;"];"&amp;
" state:= ["&amp;SUBSTITUTE(OpCode!H77,"|",",")&amp;"];"&amp;
" end;"</f>
        <v>with OpCodes[$4B] do begin code:= @op_MOV_CE; inst:= 'MOV'; fmt:= 'MOV'+#9+'C,E'; group:= Egroup.data; mode:= Emode.reg; len:= 1; cycle:= [1]; state:= [4]; end;</v>
      </c>
    </row>
    <row r="78" spans="1:4" ht="67.5" x14ac:dyDescent="0.25">
      <c r="A78" s="19" t="str">
        <f>"op"&amp;"_"&amp;OpCode!B78&amp;ConvertFormat2(OpCode!C78)</f>
        <v>op_MOV_CH</v>
      </c>
      <c r="B78" s="20" t="str">
        <f t="shared" si="1"/>
        <v>procedure TCPU_8085.op_MOV_CH;</v>
      </c>
      <c r="C78" s="21" t="str">
        <f>$B78&amp;CHAR(10)&amp;ConvertCode(OpCode!K78,OpCode!I78,OpCode!G78,OpCode!H78)</f>
        <v>procedure TCPU_8085.op_MOV_CH;
begin
  C:= (H and $FF);
  inc(cycles);
  inc(states, 4);
end;</v>
      </c>
      <c r="D78" s="21" t="str">
        <f>"with OpCodes[$"&amp;OpCode!A78&amp;"] do begin" &amp;
" code:= @"&amp;A78&amp;";"&amp;
" inst:= '"&amp;OpCode!B78&amp;"';"&amp;
" fmt:= '"&amp;OpCode!B78&amp;IF(OpCode!C78&lt;&gt;"","'+#9+'"&amp;convertFormat(OpCode!C78),"")&amp;"'"&amp;";"&amp;
" group:= Egroup."&amp;OpCode!D78&amp;";"&amp;
" mode:= Emode."&amp;OpCode!E78&amp;";"&amp;
" len:= "&amp;OpCode!F78&amp;";"&amp;
" cycle:= ["&amp;SUBSTITUTE(OpCode!G78,"|",",")&amp;"];"&amp;
" state:= ["&amp;SUBSTITUTE(OpCode!H78,"|",",")&amp;"];"&amp;
" end;"</f>
        <v>with OpCodes[$4C] do begin code:= @op_MOV_CH; inst:= 'MOV'; fmt:= 'MOV'+#9+'C,H'; group:= Egroup.data; mode:= Emode.reg; len:= 1; cycle:= [1]; state:= [4]; end;</v>
      </c>
    </row>
    <row r="79" spans="1:4" ht="67.5" x14ac:dyDescent="0.25">
      <c r="A79" s="19" t="str">
        <f>"op"&amp;"_"&amp;OpCode!B79&amp;ConvertFormat2(OpCode!C79)</f>
        <v>op_MOV_CL</v>
      </c>
      <c r="B79" s="20" t="str">
        <f t="shared" si="1"/>
        <v>procedure TCPU_8085.op_MOV_CL;</v>
      </c>
      <c r="C79" s="21" t="str">
        <f>$B79&amp;CHAR(10)&amp;ConvertCode(OpCode!K79,OpCode!I79,OpCode!G79,OpCode!H79)</f>
        <v>procedure TCPU_8085.op_MOV_CL;
begin
  C:= (L and $FF);
  inc(cycles);
  inc(states, 4);
end;</v>
      </c>
      <c r="D79" s="21" t="str">
        <f>"with OpCodes[$"&amp;OpCode!A79&amp;"] do begin" &amp;
" code:= @"&amp;A79&amp;";"&amp;
" inst:= '"&amp;OpCode!B79&amp;"';"&amp;
" fmt:= '"&amp;OpCode!B79&amp;IF(OpCode!C79&lt;&gt;"","'+#9+'"&amp;convertFormat(OpCode!C79),"")&amp;"'"&amp;";"&amp;
" group:= Egroup."&amp;OpCode!D79&amp;";"&amp;
" mode:= Emode."&amp;OpCode!E79&amp;";"&amp;
" len:= "&amp;OpCode!F79&amp;";"&amp;
" cycle:= ["&amp;SUBSTITUTE(OpCode!G79,"|",",")&amp;"];"&amp;
" state:= ["&amp;SUBSTITUTE(OpCode!H79,"|",",")&amp;"];"&amp;
" end;"</f>
        <v>with OpCodes[$4D] do begin code:= @op_MOV_CL; inst:= 'MOV'; fmt:= 'MOV'+#9+'C,L'; group:= Egroup.data; mode:= Emode.reg; len:= 1; cycle:= [1]; state:= [4]; end;</v>
      </c>
    </row>
    <row r="80" spans="1:4" ht="101.25" x14ac:dyDescent="0.25">
      <c r="A80" s="19" t="str">
        <f>"op"&amp;"_"&amp;OpCode!B80&amp;ConvertFormat2(OpCode!C80)</f>
        <v>op_MOV_CM</v>
      </c>
      <c r="B80" s="20" t="str">
        <f t="shared" si="1"/>
        <v>procedure TCPU_8085.op_MOV_CM;</v>
      </c>
      <c r="C80" s="21" t="str">
        <f>$B80&amp;CHAR(10)&amp;ConvertCode(OpCode!K80,OpCode!I80,OpCode!G80,OpCode!H80)</f>
        <v>procedure TCPU_8085.op_MOV_CM;
var 
  HL: iSize16;
begin
  HL:= H shl 8 + L;
  C:= ReadMem(HL);
  inc(cycles, 2);
  inc(states, 7);
end;</v>
      </c>
      <c r="D80" s="21" t="str">
        <f>"with OpCodes[$"&amp;OpCode!A80&amp;"] do begin" &amp;
" code:= @"&amp;A80&amp;";"&amp;
" inst:= '"&amp;OpCode!B80&amp;"';"&amp;
" fmt:= '"&amp;OpCode!B80&amp;IF(OpCode!C80&lt;&gt;"","'+#9+'"&amp;convertFormat(OpCode!C80),"")&amp;"'"&amp;";"&amp;
" group:= Egroup."&amp;OpCode!D80&amp;";"&amp;
" mode:= Emode."&amp;OpCode!E80&amp;";"&amp;
" len:= "&amp;OpCode!F80&amp;";"&amp;
" cycle:= ["&amp;SUBSTITUTE(OpCode!G80,"|",",")&amp;"];"&amp;
" state:= ["&amp;SUBSTITUTE(OpCode!H80,"|",",")&amp;"];"&amp;
" end;"</f>
        <v>with OpCodes[$4E] do begin code:= @op_MOV_CM; inst:= 'MOV'; fmt:= 'MOV'+#9+'C,M'; group:= Egroup.data; mode:= Emode.ind_reg; len:= 1; cycle:= [2]; state:= [7]; end;</v>
      </c>
    </row>
    <row r="81" spans="1:4" ht="67.5" x14ac:dyDescent="0.25">
      <c r="A81" s="19" t="str">
        <f>"op"&amp;"_"&amp;OpCode!B81&amp;ConvertFormat2(OpCode!C81)</f>
        <v>op_MOV_CA</v>
      </c>
      <c r="B81" s="20" t="str">
        <f t="shared" si="1"/>
        <v>procedure TCPU_8085.op_MOV_CA;</v>
      </c>
      <c r="C81" s="21" t="str">
        <f>$B81&amp;CHAR(10)&amp;ConvertCode(OpCode!K81,OpCode!I81,OpCode!G81,OpCode!H81)</f>
        <v>procedure TCPU_8085.op_MOV_CA;
begin
  C:= (A and $FF);
  inc(cycles);
  inc(states, 4);
end;</v>
      </c>
      <c r="D81" s="21" t="str">
        <f>"with OpCodes[$"&amp;OpCode!A81&amp;"] do begin" &amp;
" code:= @"&amp;A81&amp;";"&amp;
" inst:= '"&amp;OpCode!B81&amp;"';"&amp;
" fmt:= '"&amp;OpCode!B81&amp;IF(OpCode!C81&lt;&gt;"","'+#9+'"&amp;convertFormat(OpCode!C81),"")&amp;"'"&amp;";"&amp;
" group:= Egroup."&amp;OpCode!D81&amp;";"&amp;
" mode:= Emode."&amp;OpCode!E81&amp;";"&amp;
" len:= "&amp;OpCode!F81&amp;";"&amp;
" cycle:= ["&amp;SUBSTITUTE(OpCode!G81,"|",",")&amp;"];"&amp;
" state:= ["&amp;SUBSTITUTE(OpCode!H81,"|",",")&amp;"];"&amp;
" end;"</f>
        <v>with OpCodes[$4F] do begin code:= @op_MOV_CA; inst:= 'MOV'; fmt:= 'MOV'+#9+'C,A'; group:= Egroup.data; mode:= Emode.reg; len:= 1; cycle:= [1]; state:= [4]; end;</v>
      </c>
    </row>
    <row r="82" spans="1:4" ht="67.5" x14ac:dyDescent="0.25">
      <c r="A82" s="19" t="str">
        <f>"op"&amp;"_"&amp;OpCode!B82&amp;ConvertFormat2(OpCode!C82)</f>
        <v>op_MOV_DB</v>
      </c>
      <c r="B82" s="20" t="str">
        <f t="shared" si="1"/>
        <v>procedure TCPU_8085.op_MOV_DB;</v>
      </c>
      <c r="C82" s="21" t="str">
        <f>$B82&amp;CHAR(10)&amp;ConvertCode(OpCode!K82,OpCode!I82,OpCode!G82,OpCode!H82)</f>
        <v>procedure TCPU_8085.op_MOV_DB;
begin
  D:= (B and $FF);
  inc(cycles);
  inc(states, 4);
end;</v>
      </c>
      <c r="D82" s="21" t="str">
        <f>"with OpCodes[$"&amp;OpCode!A82&amp;"] do begin" &amp;
" code:= @"&amp;A82&amp;";"&amp;
" inst:= '"&amp;OpCode!B82&amp;"';"&amp;
" fmt:= '"&amp;OpCode!B82&amp;IF(OpCode!C82&lt;&gt;"","'+#9+'"&amp;convertFormat(OpCode!C82),"")&amp;"'"&amp;";"&amp;
" group:= Egroup."&amp;OpCode!D82&amp;";"&amp;
" mode:= Emode."&amp;OpCode!E82&amp;";"&amp;
" len:= "&amp;OpCode!F82&amp;";"&amp;
" cycle:= ["&amp;SUBSTITUTE(OpCode!G82,"|",",")&amp;"];"&amp;
" state:= ["&amp;SUBSTITUTE(OpCode!H82,"|",",")&amp;"];"&amp;
" end;"</f>
        <v>with OpCodes[$50] do begin code:= @op_MOV_DB; inst:= 'MOV'; fmt:= 'MOV'+#9+'D,B'; group:= Egroup.data; mode:= Emode.reg; len:= 1; cycle:= [1]; state:= [4]; end;</v>
      </c>
    </row>
    <row r="83" spans="1:4" ht="67.5" x14ac:dyDescent="0.25">
      <c r="A83" s="19" t="str">
        <f>"op"&amp;"_"&amp;OpCode!B83&amp;ConvertFormat2(OpCode!C83)</f>
        <v>op_MOV_DC</v>
      </c>
      <c r="B83" s="20" t="str">
        <f t="shared" si="1"/>
        <v>procedure TCPU_8085.op_MOV_DC;</v>
      </c>
      <c r="C83" s="21" t="str">
        <f>$B83&amp;CHAR(10)&amp;ConvertCode(OpCode!K83,OpCode!I83,OpCode!G83,OpCode!H83)</f>
        <v>procedure TCPU_8085.op_MOV_DC;
begin
  D:= (C and $FF);
  inc(cycles);
  inc(states, 4);
end;</v>
      </c>
      <c r="D83" s="21" t="str">
        <f>"with OpCodes[$"&amp;OpCode!A83&amp;"] do begin" &amp;
" code:= @"&amp;A83&amp;";"&amp;
" inst:= '"&amp;OpCode!B83&amp;"';"&amp;
" fmt:= '"&amp;OpCode!B83&amp;IF(OpCode!C83&lt;&gt;"","'+#9+'"&amp;convertFormat(OpCode!C83),"")&amp;"'"&amp;";"&amp;
" group:= Egroup."&amp;OpCode!D83&amp;";"&amp;
" mode:= Emode."&amp;OpCode!E83&amp;";"&amp;
" len:= "&amp;OpCode!F83&amp;";"&amp;
" cycle:= ["&amp;SUBSTITUTE(OpCode!G83,"|",",")&amp;"];"&amp;
" state:= ["&amp;SUBSTITUTE(OpCode!H83,"|",",")&amp;"];"&amp;
" end;"</f>
        <v>with OpCodes[$51] do begin code:= @op_MOV_DC; inst:= 'MOV'; fmt:= 'MOV'+#9+'D,C'; group:= Egroup.data; mode:= Emode.reg; len:= 1; cycle:= [1]; state:= [4]; end;</v>
      </c>
    </row>
    <row r="84" spans="1:4" ht="67.5" x14ac:dyDescent="0.25">
      <c r="A84" s="19" t="str">
        <f>"op"&amp;"_"&amp;OpCode!B84&amp;ConvertFormat2(OpCode!C84)</f>
        <v>op_MOV_DD</v>
      </c>
      <c r="B84" s="20" t="str">
        <f t="shared" si="1"/>
        <v>procedure TCPU_8085.op_MOV_DD;</v>
      </c>
      <c r="C84" s="21" t="str">
        <f>$B84&amp;CHAR(10)&amp;ConvertCode(OpCode!K84,OpCode!I84,OpCode!G84,OpCode!H84)</f>
        <v>procedure TCPU_8085.op_MOV_DD;
begin
  D:= (D and $FF);
  inc(cycles);
  inc(states, 4);
end;</v>
      </c>
      <c r="D84" s="21" t="str">
        <f>"with OpCodes[$"&amp;OpCode!A84&amp;"] do begin" &amp;
" code:= @"&amp;A84&amp;";"&amp;
" inst:= '"&amp;OpCode!B84&amp;"';"&amp;
" fmt:= '"&amp;OpCode!B84&amp;IF(OpCode!C84&lt;&gt;"","'+#9+'"&amp;convertFormat(OpCode!C84),"")&amp;"'"&amp;";"&amp;
" group:= Egroup."&amp;OpCode!D84&amp;";"&amp;
" mode:= Emode."&amp;OpCode!E84&amp;";"&amp;
" len:= "&amp;OpCode!F84&amp;";"&amp;
" cycle:= ["&amp;SUBSTITUTE(OpCode!G84,"|",",")&amp;"];"&amp;
" state:= ["&amp;SUBSTITUTE(OpCode!H84,"|",",")&amp;"];"&amp;
" end;"</f>
        <v>with OpCodes[$52] do begin code:= @op_MOV_DD; inst:= 'MOV'; fmt:= 'MOV'+#9+'D,D'; group:= Egroup.data; mode:= Emode.reg; len:= 1; cycle:= [1]; state:= [4]; end;</v>
      </c>
    </row>
    <row r="85" spans="1:4" ht="67.5" x14ac:dyDescent="0.25">
      <c r="A85" s="19" t="str">
        <f>"op"&amp;"_"&amp;OpCode!B85&amp;ConvertFormat2(OpCode!C85)</f>
        <v>op_MOV_DE</v>
      </c>
      <c r="B85" s="20" t="str">
        <f t="shared" si="1"/>
        <v>procedure TCPU_8085.op_MOV_DE;</v>
      </c>
      <c r="C85" s="21" t="str">
        <f>$B85&amp;CHAR(10)&amp;ConvertCode(OpCode!K85,OpCode!I85,OpCode!G85,OpCode!H85)</f>
        <v>procedure TCPU_8085.op_MOV_DE;
begin
  D:= (E and $FF);
  inc(cycles);
  inc(states, 4);
end;</v>
      </c>
      <c r="D85" s="21" t="str">
        <f>"with OpCodes[$"&amp;OpCode!A85&amp;"] do begin" &amp;
" code:= @"&amp;A85&amp;";"&amp;
" inst:= '"&amp;OpCode!B85&amp;"';"&amp;
" fmt:= '"&amp;OpCode!B85&amp;IF(OpCode!C85&lt;&gt;"","'+#9+'"&amp;convertFormat(OpCode!C85),"")&amp;"'"&amp;";"&amp;
" group:= Egroup."&amp;OpCode!D85&amp;";"&amp;
" mode:= Emode."&amp;OpCode!E85&amp;";"&amp;
" len:= "&amp;OpCode!F85&amp;";"&amp;
" cycle:= ["&amp;SUBSTITUTE(OpCode!G85,"|",",")&amp;"];"&amp;
" state:= ["&amp;SUBSTITUTE(OpCode!H85,"|",",")&amp;"];"&amp;
" end;"</f>
        <v>with OpCodes[$53] do begin code:= @op_MOV_DE; inst:= 'MOV'; fmt:= 'MOV'+#9+'D,E'; group:= Egroup.data; mode:= Emode.reg; len:= 1; cycle:= [1]; state:= [4]; end;</v>
      </c>
    </row>
    <row r="86" spans="1:4" ht="67.5" x14ac:dyDescent="0.25">
      <c r="A86" s="19" t="str">
        <f>"op"&amp;"_"&amp;OpCode!B86&amp;ConvertFormat2(OpCode!C86)</f>
        <v>op_MOV_DH</v>
      </c>
      <c r="B86" s="20" t="str">
        <f t="shared" si="1"/>
        <v>procedure TCPU_8085.op_MOV_DH;</v>
      </c>
      <c r="C86" s="21" t="str">
        <f>$B86&amp;CHAR(10)&amp;ConvertCode(OpCode!K86,OpCode!I86,OpCode!G86,OpCode!H86)</f>
        <v>procedure TCPU_8085.op_MOV_DH;
begin
  D:= (H and $FF);
  inc(cycles);
  inc(states, 4);
end;</v>
      </c>
      <c r="D86" s="21" t="str">
        <f>"with OpCodes[$"&amp;OpCode!A86&amp;"] do begin" &amp;
" code:= @"&amp;A86&amp;";"&amp;
" inst:= '"&amp;OpCode!B86&amp;"';"&amp;
" fmt:= '"&amp;OpCode!B86&amp;IF(OpCode!C86&lt;&gt;"","'+#9+'"&amp;convertFormat(OpCode!C86),"")&amp;"'"&amp;";"&amp;
" group:= Egroup."&amp;OpCode!D86&amp;";"&amp;
" mode:= Emode."&amp;OpCode!E86&amp;";"&amp;
" len:= "&amp;OpCode!F86&amp;";"&amp;
" cycle:= ["&amp;SUBSTITUTE(OpCode!G86,"|",",")&amp;"];"&amp;
" state:= ["&amp;SUBSTITUTE(OpCode!H86,"|",",")&amp;"];"&amp;
" end;"</f>
        <v>with OpCodes[$54] do begin code:= @op_MOV_DH; inst:= 'MOV'; fmt:= 'MOV'+#9+'D,H'; group:= Egroup.data; mode:= Emode.reg; len:= 1; cycle:= [1]; state:= [4]; end;</v>
      </c>
    </row>
    <row r="87" spans="1:4" ht="67.5" x14ac:dyDescent="0.25">
      <c r="A87" s="19" t="str">
        <f>"op"&amp;"_"&amp;OpCode!B87&amp;ConvertFormat2(OpCode!C87)</f>
        <v>op_MOV_DL</v>
      </c>
      <c r="B87" s="20" t="str">
        <f t="shared" si="1"/>
        <v>procedure TCPU_8085.op_MOV_DL;</v>
      </c>
      <c r="C87" s="21" t="str">
        <f>$B87&amp;CHAR(10)&amp;ConvertCode(OpCode!K87,OpCode!I87,OpCode!G87,OpCode!H87)</f>
        <v>procedure TCPU_8085.op_MOV_DL;
begin
  D:= (L and $FF);
  inc(cycles);
  inc(states, 4);
end;</v>
      </c>
      <c r="D87" s="21" t="str">
        <f>"with OpCodes[$"&amp;OpCode!A87&amp;"] do begin" &amp;
" code:= @"&amp;A87&amp;";"&amp;
" inst:= '"&amp;OpCode!B87&amp;"';"&amp;
" fmt:= '"&amp;OpCode!B87&amp;IF(OpCode!C87&lt;&gt;"","'+#9+'"&amp;convertFormat(OpCode!C87),"")&amp;"'"&amp;";"&amp;
" group:= Egroup."&amp;OpCode!D87&amp;";"&amp;
" mode:= Emode."&amp;OpCode!E87&amp;";"&amp;
" len:= "&amp;OpCode!F87&amp;";"&amp;
" cycle:= ["&amp;SUBSTITUTE(OpCode!G87,"|",",")&amp;"];"&amp;
" state:= ["&amp;SUBSTITUTE(OpCode!H87,"|",",")&amp;"];"&amp;
" end;"</f>
        <v>with OpCodes[$55] do begin code:= @op_MOV_DL; inst:= 'MOV'; fmt:= 'MOV'+#9+'D,L'; group:= Egroup.data; mode:= Emode.reg; len:= 1; cycle:= [1]; state:= [4]; end;</v>
      </c>
    </row>
    <row r="88" spans="1:4" ht="101.25" x14ac:dyDescent="0.25">
      <c r="A88" s="19" t="str">
        <f>"op"&amp;"_"&amp;OpCode!B88&amp;ConvertFormat2(OpCode!C88)</f>
        <v>op_MOV_DM</v>
      </c>
      <c r="B88" s="20" t="str">
        <f t="shared" si="1"/>
        <v>procedure TCPU_8085.op_MOV_DM;</v>
      </c>
      <c r="C88" s="21" t="str">
        <f>$B88&amp;CHAR(10)&amp;ConvertCode(OpCode!K88,OpCode!I88,OpCode!G88,OpCode!H88)</f>
        <v>procedure TCPU_8085.op_MOV_DM;
var 
  HL: iSize16;
begin
  HL:= H shl 8 + L;
  D:= ReadMem(HL);
  inc(cycles, 2);
  inc(states, 7);
end;</v>
      </c>
      <c r="D88" s="21" t="str">
        <f>"with OpCodes[$"&amp;OpCode!A88&amp;"] do begin" &amp;
" code:= @"&amp;A88&amp;";"&amp;
" inst:= '"&amp;OpCode!B88&amp;"';"&amp;
" fmt:= '"&amp;OpCode!B88&amp;IF(OpCode!C88&lt;&gt;"","'+#9+'"&amp;convertFormat(OpCode!C88),"")&amp;"'"&amp;";"&amp;
" group:= Egroup."&amp;OpCode!D88&amp;";"&amp;
" mode:= Emode."&amp;OpCode!E88&amp;";"&amp;
" len:= "&amp;OpCode!F88&amp;";"&amp;
" cycle:= ["&amp;SUBSTITUTE(OpCode!G88,"|",",")&amp;"];"&amp;
" state:= ["&amp;SUBSTITUTE(OpCode!H88,"|",",")&amp;"];"&amp;
" end;"</f>
        <v>with OpCodes[$56] do begin code:= @op_MOV_DM; inst:= 'MOV'; fmt:= 'MOV'+#9+'D,M'; group:= Egroup.data; mode:= Emode.ind_reg; len:= 1; cycle:= [2]; state:= [7]; end;</v>
      </c>
    </row>
    <row r="89" spans="1:4" ht="67.5" x14ac:dyDescent="0.25">
      <c r="A89" s="19" t="str">
        <f>"op"&amp;"_"&amp;OpCode!B89&amp;ConvertFormat2(OpCode!C89)</f>
        <v>op_MOV_DA</v>
      </c>
      <c r="B89" s="20" t="str">
        <f t="shared" si="1"/>
        <v>procedure TCPU_8085.op_MOV_DA;</v>
      </c>
      <c r="C89" s="21" t="str">
        <f>$B89&amp;CHAR(10)&amp;ConvertCode(OpCode!K89,OpCode!I89,OpCode!G89,OpCode!H89)</f>
        <v>procedure TCPU_8085.op_MOV_DA;
begin
  D:= (A and $FF);
  inc(cycles);
  inc(states, 4);
end;</v>
      </c>
      <c r="D89" s="21" t="str">
        <f>"with OpCodes[$"&amp;OpCode!A89&amp;"] do begin" &amp;
" code:= @"&amp;A89&amp;";"&amp;
" inst:= '"&amp;OpCode!B89&amp;"';"&amp;
" fmt:= '"&amp;OpCode!B89&amp;IF(OpCode!C89&lt;&gt;"","'+#9+'"&amp;convertFormat(OpCode!C89),"")&amp;"'"&amp;";"&amp;
" group:= Egroup."&amp;OpCode!D89&amp;";"&amp;
" mode:= Emode."&amp;OpCode!E89&amp;";"&amp;
" len:= "&amp;OpCode!F89&amp;";"&amp;
" cycle:= ["&amp;SUBSTITUTE(OpCode!G89,"|",",")&amp;"];"&amp;
" state:= ["&amp;SUBSTITUTE(OpCode!H89,"|",",")&amp;"];"&amp;
" end;"</f>
        <v>with OpCodes[$57] do begin code:= @op_MOV_DA; inst:= 'MOV'; fmt:= 'MOV'+#9+'D,A'; group:= Egroup.data; mode:= Emode.reg; len:= 1; cycle:= [1]; state:= [4]; end;</v>
      </c>
    </row>
    <row r="90" spans="1:4" ht="67.5" x14ac:dyDescent="0.25">
      <c r="A90" s="19" t="str">
        <f>"op"&amp;"_"&amp;OpCode!B90&amp;ConvertFormat2(OpCode!C90)</f>
        <v>op_MOV_EB</v>
      </c>
      <c r="B90" s="20" t="str">
        <f t="shared" si="1"/>
        <v>procedure TCPU_8085.op_MOV_EB;</v>
      </c>
      <c r="C90" s="21" t="str">
        <f>$B90&amp;CHAR(10)&amp;ConvertCode(OpCode!K90,OpCode!I90,OpCode!G90,OpCode!H90)</f>
        <v>procedure TCPU_8085.op_MOV_EB;
begin
  E:= (B and $FF);
  inc(cycles);
  inc(states, 4);
end;</v>
      </c>
      <c r="D90" s="21" t="str">
        <f>"with OpCodes[$"&amp;OpCode!A90&amp;"] do begin" &amp;
" code:= @"&amp;A90&amp;";"&amp;
" inst:= '"&amp;OpCode!B90&amp;"';"&amp;
" fmt:= '"&amp;OpCode!B90&amp;IF(OpCode!C90&lt;&gt;"","'+#9+'"&amp;convertFormat(OpCode!C90),"")&amp;"'"&amp;";"&amp;
" group:= Egroup."&amp;OpCode!D90&amp;";"&amp;
" mode:= Emode."&amp;OpCode!E90&amp;";"&amp;
" len:= "&amp;OpCode!F90&amp;";"&amp;
" cycle:= ["&amp;SUBSTITUTE(OpCode!G90,"|",",")&amp;"];"&amp;
" state:= ["&amp;SUBSTITUTE(OpCode!H90,"|",",")&amp;"];"&amp;
" end;"</f>
        <v>with OpCodes[$58] do begin code:= @op_MOV_EB; inst:= 'MOV'; fmt:= 'MOV'+#9+'E,B'; group:= Egroup.data; mode:= Emode.reg; len:= 1; cycle:= [1]; state:= [4]; end;</v>
      </c>
    </row>
    <row r="91" spans="1:4" ht="67.5" x14ac:dyDescent="0.25">
      <c r="A91" s="19" t="str">
        <f>"op"&amp;"_"&amp;OpCode!B91&amp;ConvertFormat2(OpCode!C91)</f>
        <v>op_MOV_EC</v>
      </c>
      <c r="B91" s="20" t="str">
        <f t="shared" si="1"/>
        <v>procedure TCPU_8085.op_MOV_EC;</v>
      </c>
      <c r="C91" s="21" t="str">
        <f>$B91&amp;CHAR(10)&amp;ConvertCode(OpCode!K91,OpCode!I91,OpCode!G91,OpCode!H91)</f>
        <v>procedure TCPU_8085.op_MOV_EC;
begin
  E:= (C and $FF);
  inc(cycles);
  inc(states, 4);
end;</v>
      </c>
      <c r="D91" s="21" t="str">
        <f>"with OpCodes[$"&amp;OpCode!A91&amp;"] do begin" &amp;
" code:= @"&amp;A91&amp;";"&amp;
" inst:= '"&amp;OpCode!B91&amp;"';"&amp;
" fmt:= '"&amp;OpCode!B91&amp;IF(OpCode!C91&lt;&gt;"","'+#9+'"&amp;convertFormat(OpCode!C91),"")&amp;"'"&amp;";"&amp;
" group:= Egroup."&amp;OpCode!D91&amp;";"&amp;
" mode:= Emode."&amp;OpCode!E91&amp;";"&amp;
" len:= "&amp;OpCode!F91&amp;";"&amp;
" cycle:= ["&amp;SUBSTITUTE(OpCode!G91,"|",",")&amp;"];"&amp;
" state:= ["&amp;SUBSTITUTE(OpCode!H91,"|",",")&amp;"];"&amp;
" end;"</f>
        <v>with OpCodes[$59] do begin code:= @op_MOV_EC; inst:= 'MOV'; fmt:= 'MOV'+#9+'E,C'; group:= Egroup.data; mode:= Emode.reg; len:= 1; cycle:= [1]; state:= [4]; end;</v>
      </c>
    </row>
    <row r="92" spans="1:4" ht="67.5" x14ac:dyDescent="0.25">
      <c r="A92" s="19" t="str">
        <f>"op"&amp;"_"&amp;OpCode!B92&amp;ConvertFormat2(OpCode!C92)</f>
        <v>op_MOV_ED</v>
      </c>
      <c r="B92" s="20" t="str">
        <f t="shared" si="1"/>
        <v>procedure TCPU_8085.op_MOV_ED;</v>
      </c>
      <c r="C92" s="21" t="str">
        <f>$B92&amp;CHAR(10)&amp;ConvertCode(OpCode!K92,OpCode!I92,OpCode!G92,OpCode!H92)</f>
        <v>procedure TCPU_8085.op_MOV_ED;
begin
  E:= (D and $FF);
  inc(cycles);
  inc(states, 4);
end;</v>
      </c>
      <c r="D92" s="21" t="str">
        <f>"with OpCodes[$"&amp;OpCode!A92&amp;"] do begin" &amp;
" code:= @"&amp;A92&amp;";"&amp;
" inst:= '"&amp;OpCode!B92&amp;"';"&amp;
" fmt:= '"&amp;OpCode!B92&amp;IF(OpCode!C92&lt;&gt;"","'+#9+'"&amp;convertFormat(OpCode!C92),"")&amp;"'"&amp;";"&amp;
" group:= Egroup."&amp;OpCode!D92&amp;";"&amp;
" mode:= Emode."&amp;OpCode!E92&amp;";"&amp;
" len:= "&amp;OpCode!F92&amp;";"&amp;
" cycle:= ["&amp;SUBSTITUTE(OpCode!G92,"|",",")&amp;"];"&amp;
" state:= ["&amp;SUBSTITUTE(OpCode!H92,"|",",")&amp;"];"&amp;
" end;"</f>
        <v>with OpCodes[$5A] do begin code:= @op_MOV_ED; inst:= 'MOV'; fmt:= 'MOV'+#9+'E,D'; group:= Egroup.data; mode:= Emode.reg; len:= 1; cycle:= [1]; state:= [4]; end;</v>
      </c>
    </row>
    <row r="93" spans="1:4" ht="67.5" x14ac:dyDescent="0.25">
      <c r="A93" s="19" t="str">
        <f>"op"&amp;"_"&amp;OpCode!B93&amp;ConvertFormat2(OpCode!C93)</f>
        <v>op_MOV_EE</v>
      </c>
      <c r="B93" s="20" t="str">
        <f t="shared" si="1"/>
        <v>procedure TCPU_8085.op_MOV_EE;</v>
      </c>
      <c r="C93" s="21" t="str">
        <f>$B93&amp;CHAR(10)&amp;ConvertCode(OpCode!K93,OpCode!I93,OpCode!G93,OpCode!H93)</f>
        <v>procedure TCPU_8085.op_MOV_EE;
begin
  E:= (E and $FF);
  inc(cycles);
  inc(states, 4);
end;</v>
      </c>
      <c r="D93" s="21" t="str">
        <f>"with OpCodes[$"&amp;OpCode!A93&amp;"] do begin" &amp;
" code:= @"&amp;A93&amp;";"&amp;
" inst:= '"&amp;OpCode!B93&amp;"';"&amp;
" fmt:= '"&amp;OpCode!B93&amp;IF(OpCode!C93&lt;&gt;"","'+#9+'"&amp;convertFormat(OpCode!C93),"")&amp;"'"&amp;";"&amp;
" group:= Egroup."&amp;OpCode!D93&amp;";"&amp;
" mode:= Emode."&amp;OpCode!E93&amp;";"&amp;
" len:= "&amp;OpCode!F93&amp;";"&amp;
" cycle:= ["&amp;SUBSTITUTE(OpCode!G93,"|",",")&amp;"];"&amp;
" state:= ["&amp;SUBSTITUTE(OpCode!H93,"|",",")&amp;"];"&amp;
" end;"</f>
        <v>with OpCodes[$5B] do begin code:= @op_MOV_EE; inst:= 'MOV'; fmt:= 'MOV'+#9+'E,E'; group:= Egroup.data; mode:= Emode.reg; len:= 1; cycle:= [1]; state:= [4]; end;</v>
      </c>
    </row>
    <row r="94" spans="1:4" ht="67.5" x14ac:dyDescent="0.25">
      <c r="A94" s="19" t="str">
        <f>"op"&amp;"_"&amp;OpCode!B94&amp;ConvertFormat2(OpCode!C94)</f>
        <v>op_MOV_EH</v>
      </c>
      <c r="B94" s="20" t="str">
        <f t="shared" si="1"/>
        <v>procedure TCPU_8085.op_MOV_EH;</v>
      </c>
      <c r="C94" s="21" t="str">
        <f>$B94&amp;CHAR(10)&amp;ConvertCode(OpCode!K94,OpCode!I94,OpCode!G94,OpCode!H94)</f>
        <v>procedure TCPU_8085.op_MOV_EH;
begin
  E:= (H and $FF);
  inc(cycles);
  inc(states, 4);
end;</v>
      </c>
      <c r="D94" s="21" t="str">
        <f>"with OpCodes[$"&amp;OpCode!A94&amp;"] do begin" &amp;
" code:= @"&amp;A94&amp;";"&amp;
" inst:= '"&amp;OpCode!B94&amp;"';"&amp;
" fmt:= '"&amp;OpCode!B94&amp;IF(OpCode!C94&lt;&gt;"","'+#9+'"&amp;convertFormat(OpCode!C94),"")&amp;"'"&amp;";"&amp;
" group:= Egroup."&amp;OpCode!D94&amp;";"&amp;
" mode:= Emode."&amp;OpCode!E94&amp;";"&amp;
" len:= "&amp;OpCode!F94&amp;";"&amp;
" cycle:= ["&amp;SUBSTITUTE(OpCode!G94,"|",",")&amp;"];"&amp;
" state:= ["&amp;SUBSTITUTE(OpCode!H94,"|",",")&amp;"];"&amp;
" end;"</f>
        <v>with OpCodes[$5C] do begin code:= @op_MOV_EH; inst:= 'MOV'; fmt:= 'MOV'+#9+'E,H'; group:= Egroup.data; mode:= Emode.reg; len:= 1; cycle:= [1]; state:= [4]; end;</v>
      </c>
    </row>
    <row r="95" spans="1:4" ht="67.5" x14ac:dyDescent="0.25">
      <c r="A95" s="19" t="str">
        <f>"op"&amp;"_"&amp;OpCode!B95&amp;ConvertFormat2(OpCode!C95)</f>
        <v>op_MOV_EL</v>
      </c>
      <c r="B95" s="20" t="str">
        <f t="shared" si="1"/>
        <v>procedure TCPU_8085.op_MOV_EL;</v>
      </c>
      <c r="C95" s="21" t="str">
        <f>$B95&amp;CHAR(10)&amp;ConvertCode(OpCode!K95,OpCode!I95,OpCode!G95,OpCode!H95)</f>
        <v>procedure TCPU_8085.op_MOV_EL;
begin
  E:= (L and $FF);
  inc(cycles);
  inc(states, 4);
end;</v>
      </c>
      <c r="D95" s="21" t="str">
        <f>"with OpCodes[$"&amp;OpCode!A95&amp;"] do begin" &amp;
" code:= @"&amp;A95&amp;";"&amp;
" inst:= '"&amp;OpCode!B95&amp;"';"&amp;
" fmt:= '"&amp;OpCode!B95&amp;IF(OpCode!C95&lt;&gt;"","'+#9+'"&amp;convertFormat(OpCode!C95),"")&amp;"'"&amp;";"&amp;
" group:= Egroup."&amp;OpCode!D95&amp;";"&amp;
" mode:= Emode."&amp;OpCode!E95&amp;";"&amp;
" len:= "&amp;OpCode!F95&amp;";"&amp;
" cycle:= ["&amp;SUBSTITUTE(OpCode!G95,"|",",")&amp;"];"&amp;
" state:= ["&amp;SUBSTITUTE(OpCode!H95,"|",",")&amp;"];"&amp;
" end;"</f>
        <v>with OpCodes[$5D] do begin code:= @op_MOV_EL; inst:= 'MOV'; fmt:= 'MOV'+#9+'E,L'; group:= Egroup.data; mode:= Emode.reg; len:= 1; cycle:= [1]; state:= [4]; end;</v>
      </c>
    </row>
    <row r="96" spans="1:4" ht="101.25" x14ac:dyDescent="0.25">
      <c r="A96" s="19" t="str">
        <f>"op"&amp;"_"&amp;OpCode!B96&amp;ConvertFormat2(OpCode!C96)</f>
        <v>op_MOV_EM</v>
      </c>
      <c r="B96" s="20" t="str">
        <f t="shared" si="1"/>
        <v>procedure TCPU_8085.op_MOV_EM;</v>
      </c>
      <c r="C96" s="21" t="str">
        <f>$B96&amp;CHAR(10)&amp;ConvertCode(OpCode!K96,OpCode!I96,OpCode!G96,OpCode!H96)</f>
        <v>procedure TCPU_8085.op_MOV_EM;
var 
  HL: iSize16;
begin
  HL:= H shl 8 + L;
  E:= ReadMem(HL);
  inc(cycles, 2);
  inc(states, 7);
end;</v>
      </c>
      <c r="D96" s="21" t="str">
        <f>"with OpCodes[$"&amp;OpCode!A96&amp;"] do begin" &amp;
" code:= @"&amp;A96&amp;";"&amp;
" inst:= '"&amp;OpCode!B96&amp;"';"&amp;
" fmt:= '"&amp;OpCode!B96&amp;IF(OpCode!C96&lt;&gt;"","'+#9+'"&amp;convertFormat(OpCode!C96),"")&amp;"'"&amp;";"&amp;
" group:= Egroup."&amp;OpCode!D96&amp;";"&amp;
" mode:= Emode."&amp;OpCode!E96&amp;";"&amp;
" len:= "&amp;OpCode!F96&amp;";"&amp;
" cycle:= ["&amp;SUBSTITUTE(OpCode!G96,"|",",")&amp;"];"&amp;
" state:= ["&amp;SUBSTITUTE(OpCode!H96,"|",",")&amp;"];"&amp;
" end;"</f>
        <v>with OpCodes[$5E] do begin code:= @op_MOV_EM; inst:= 'MOV'; fmt:= 'MOV'+#9+'E,M'; group:= Egroup.data; mode:= Emode.ind_reg; len:= 1; cycle:= [2]; state:= [7]; end;</v>
      </c>
    </row>
    <row r="97" spans="1:4" ht="67.5" x14ac:dyDescent="0.25">
      <c r="A97" s="19" t="str">
        <f>"op"&amp;"_"&amp;OpCode!B97&amp;ConvertFormat2(OpCode!C97)</f>
        <v>op_MOV_EA</v>
      </c>
      <c r="B97" s="20" t="str">
        <f t="shared" si="1"/>
        <v>procedure TCPU_8085.op_MOV_EA;</v>
      </c>
      <c r="C97" s="21" t="str">
        <f>$B97&amp;CHAR(10)&amp;ConvertCode(OpCode!K97,OpCode!I97,OpCode!G97,OpCode!H97)</f>
        <v>procedure TCPU_8085.op_MOV_EA;
begin
  E:= (A and $FF);
  inc(cycles);
  inc(states, 4);
end;</v>
      </c>
      <c r="D97" s="21" t="str">
        <f>"with OpCodes[$"&amp;OpCode!A97&amp;"] do begin" &amp;
" code:= @"&amp;A97&amp;";"&amp;
" inst:= '"&amp;OpCode!B97&amp;"';"&amp;
" fmt:= '"&amp;OpCode!B97&amp;IF(OpCode!C97&lt;&gt;"","'+#9+'"&amp;convertFormat(OpCode!C97),"")&amp;"'"&amp;";"&amp;
" group:= Egroup."&amp;OpCode!D97&amp;";"&amp;
" mode:= Emode."&amp;OpCode!E97&amp;";"&amp;
" len:= "&amp;OpCode!F97&amp;";"&amp;
" cycle:= ["&amp;SUBSTITUTE(OpCode!G97,"|",",")&amp;"];"&amp;
" state:= ["&amp;SUBSTITUTE(OpCode!H97,"|",",")&amp;"];"&amp;
" end;"</f>
        <v>with OpCodes[$5F] do begin code:= @op_MOV_EA; inst:= 'MOV'; fmt:= 'MOV'+#9+'E,A'; group:= Egroup.data; mode:= Emode.reg; len:= 1; cycle:= [1]; state:= [4]; end;</v>
      </c>
    </row>
    <row r="98" spans="1:4" ht="67.5" x14ac:dyDescent="0.25">
      <c r="A98" s="19" t="str">
        <f>"op"&amp;"_"&amp;OpCode!B98&amp;ConvertFormat2(OpCode!C98)</f>
        <v>op_MOV_HB</v>
      </c>
      <c r="B98" s="20" t="str">
        <f t="shared" si="1"/>
        <v>procedure TCPU_8085.op_MOV_HB;</v>
      </c>
      <c r="C98" s="21" t="str">
        <f>$B98&amp;CHAR(10)&amp;ConvertCode(OpCode!K98,OpCode!I98,OpCode!G98,OpCode!H98)</f>
        <v>procedure TCPU_8085.op_MOV_HB;
begin
  H:= (B and $FF);
  inc(cycles);
  inc(states, 4);
end;</v>
      </c>
      <c r="D98" s="21" t="str">
        <f>"with OpCodes[$"&amp;OpCode!A98&amp;"] do begin" &amp;
" code:= @"&amp;A98&amp;";"&amp;
" inst:= '"&amp;OpCode!B98&amp;"';"&amp;
" fmt:= '"&amp;OpCode!B98&amp;IF(OpCode!C98&lt;&gt;"","'+#9+'"&amp;convertFormat(OpCode!C98),"")&amp;"'"&amp;";"&amp;
" group:= Egroup."&amp;OpCode!D98&amp;";"&amp;
" mode:= Emode."&amp;OpCode!E98&amp;";"&amp;
" len:= "&amp;OpCode!F98&amp;";"&amp;
" cycle:= ["&amp;SUBSTITUTE(OpCode!G98,"|",",")&amp;"];"&amp;
" state:= ["&amp;SUBSTITUTE(OpCode!H98,"|",",")&amp;"];"&amp;
" end;"</f>
        <v>with OpCodes[$60] do begin code:= @op_MOV_HB; inst:= 'MOV'; fmt:= 'MOV'+#9+'H,B'; group:= Egroup.data; mode:= Emode.reg; len:= 1; cycle:= [1]; state:= [4]; end;</v>
      </c>
    </row>
    <row r="99" spans="1:4" ht="67.5" x14ac:dyDescent="0.25">
      <c r="A99" s="19" t="str">
        <f>"op"&amp;"_"&amp;OpCode!B99&amp;ConvertFormat2(OpCode!C99)</f>
        <v>op_MOV_HC</v>
      </c>
      <c r="B99" s="20" t="str">
        <f t="shared" si="1"/>
        <v>procedure TCPU_8085.op_MOV_HC;</v>
      </c>
      <c r="C99" s="21" t="str">
        <f>$B99&amp;CHAR(10)&amp;ConvertCode(OpCode!K99,OpCode!I99,OpCode!G99,OpCode!H99)</f>
        <v>procedure TCPU_8085.op_MOV_HC;
begin
  H:= (C and $FF);
  inc(cycles);
  inc(states, 4);
end;</v>
      </c>
      <c r="D99" s="21" t="str">
        <f>"with OpCodes[$"&amp;OpCode!A99&amp;"] do begin" &amp;
" code:= @"&amp;A99&amp;";"&amp;
" inst:= '"&amp;OpCode!B99&amp;"';"&amp;
" fmt:= '"&amp;OpCode!B99&amp;IF(OpCode!C99&lt;&gt;"","'+#9+'"&amp;convertFormat(OpCode!C99),"")&amp;"'"&amp;";"&amp;
" group:= Egroup."&amp;OpCode!D99&amp;";"&amp;
" mode:= Emode."&amp;OpCode!E99&amp;";"&amp;
" len:= "&amp;OpCode!F99&amp;";"&amp;
" cycle:= ["&amp;SUBSTITUTE(OpCode!G99,"|",",")&amp;"];"&amp;
" state:= ["&amp;SUBSTITUTE(OpCode!H99,"|",",")&amp;"];"&amp;
" end;"</f>
        <v>with OpCodes[$61] do begin code:= @op_MOV_HC; inst:= 'MOV'; fmt:= 'MOV'+#9+'H,C'; group:= Egroup.data; mode:= Emode.reg; len:= 1; cycle:= [1]; state:= [4]; end;</v>
      </c>
    </row>
    <row r="100" spans="1:4" ht="67.5" x14ac:dyDescent="0.25">
      <c r="A100" s="19" t="str">
        <f>"op"&amp;"_"&amp;OpCode!B100&amp;ConvertFormat2(OpCode!C100)</f>
        <v>op_MOV_HD</v>
      </c>
      <c r="B100" s="20" t="str">
        <f t="shared" si="1"/>
        <v>procedure TCPU_8085.op_MOV_HD;</v>
      </c>
      <c r="C100" s="21" t="str">
        <f>$B100&amp;CHAR(10)&amp;ConvertCode(OpCode!K100,OpCode!I100,OpCode!G100,OpCode!H100)</f>
        <v>procedure TCPU_8085.op_MOV_HD;
begin
  H:= (D and $FF);
  inc(cycles);
  inc(states, 4);
end;</v>
      </c>
      <c r="D100" s="21" t="str">
        <f>"with OpCodes[$"&amp;OpCode!A100&amp;"] do begin" &amp;
" code:= @"&amp;A100&amp;";"&amp;
" inst:= '"&amp;OpCode!B100&amp;"';"&amp;
" fmt:= '"&amp;OpCode!B100&amp;IF(OpCode!C100&lt;&gt;"","'+#9+'"&amp;convertFormat(OpCode!C100),"")&amp;"'"&amp;";"&amp;
" group:= Egroup."&amp;OpCode!D100&amp;";"&amp;
" mode:= Emode."&amp;OpCode!E100&amp;";"&amp;
" len:= "&amp;OpCode!F100&amp;";"&amp;
" cycle:= ["&amp;SUBSTITUTE(OpCode!G100,"|",",")&amp;"];"&amp;
" state:= ["&amp;SUBSTITUTE(OpCode!H100,"|",",")&amp;"];"&amp;
" end;"</f>
        <v>with OpCodes[$62] do begin code:= @op_MOV_HD; inst:= 'MOV'; fmt:= 'MOV'+#9+'H,D'; group:= Egroup.data; mode:= Emode.reg; len:= 1; cycle:= [1]; state:= [4]; end;</v>
      </c>
    </row>
    <row r="101" spans="1:4" ht="67.5" x14ac:dyDescent="0.25">
      <c r="A101" s="19" t="str">
        <f>"op"&amp;"_"&amp;OpCode!B101&amp;ConvertFormat2(OpCode!C101)</f>
        <v>op_MOV_HE</v>
      </c>
      <c r="B101" s="20" t="str">
        <f t="shared" si="1"/>
        <v>procedure TCPU_8085.op_MOV_HE;</v>
      </c>
      <c r="C101" s="21" t="str">
        <f>$B101&amp;CHAR(10)&amp;ConvertCode(OpCode!K101,OpCode!I101,OpCode!G101,OpCode!H101)</f>
        <v>procedure TCPU_8085.op_MOV_HE;
begin
  H:= (E and $FF);
  inc(cycles);
  inc(states, 4);
end;</v>
      </c>
      <c r="D101" s="21" t="str">
        <f>"with OpCodes[$"&amp;OpCode!A101&amp;"] do begin" &amp;
" code:= @"&amp;A101&amp;";"&amp;
" inst:= '"&amp;OpCode!B101&amp;"';"&amp;
" fmt:= '"&amp;OpCode!B101&amp;IF(OpCode!C101&lt;&gt;"","'+#9+'"&amp;convertFormat(OpCode!C101),"")&amp;"'"&amp;";"&amp;
" group:= Egroup."&amp;OpCode!D101&amp;";"&amp;
" mode:= Emode."&amp;OpCode!E101&amp;";"&amp;
" len:= "&amp;OpCode!F101&amp;";"&amp;
" cycle:= ["&amp;SUBSTITUTE(OpCode!G101,"|",",")&amp;"];"&amp;
" state:= ["&amp;SUBSTITUTE(OpCode!H101,"|",",")&amp;"];"&amp;
" end;"</f>
        <v>with OpCodes[$63] do begin code:= @op_MOV_HE; inst:= 'MOV'; fmt:= 'MOV'+#9+'H,E'; group:= Egroup.data; mode:= Emode.reg; len:= 1; cycle:= [1]; state:= [4]; end;</v>
      </c>
    </row>
    <row r="102" spans="1:4" ht="67.5" x14ac:dyDescent="0.25">
      <c r="A102" s="19" t="str">
        <f>"op"&amp;"_"&amp;OpCode!B102&amp;ConvertFormat2(OpCode!C102)</f>
        <v>op_MOV_HH</v>
      </c>
      <c r="B102" s="20" t="str">
        <f t="shared" si="1"/>
        <v>procedure TCPU_8085.op_MOV_HH;</v>
      </c>
      <c r="C102" s="21" t="str">
        <f>$B102&amp;CHAR(10)&amp;ConvertCode(OpCode!K102,OpCode!I102,OpCode!G102,OpCode!H102)</f>
        <v>procedure TCPU_8085.op_MOV_HH;
begin
  H:= (H and $FF);
  inc(cycles);
  inc(states, 4);
end;</v>
      </c>
      <c r="D102" s="21" t="str">
        <f>"with OpCodes[$"&amp;OpCode!A102&amp;"] do begin" &amp;
" code:= @"&amp;A102&amp;";"&amp;
" inst:= '"&amp;OpCode!B102&amp;"';"&amp;
" fmt:= '"&amp;OpCode!B102&amp;IF(OpCode!C102&lt;&gt;"","'+#9+'"&amp;convertFormat(OpCode!C102),"")&amp;"'"&amp;";"&amp;
" group:= Egroup."&amp;OpCode!D102&amp;";"&amp;
" mode:= Emode."&amp;OpCode!E102&amp;";"&amp;
" len:= "&amp;OpCode!F102&amp;";"&amp;
" cycle:= ["&amp;SUBSTITUTE(OpCode!G102,"|",",")&amp;"];"&amp;
" state:= ["&amp;SUBSTITUTE(OpCode!H102,"|",",")&amp;"];"&amp;
" end;"</f>
        <v>with OpCodes[$64] do begin code:= @op_MOV_HH; inst:= 'MOV'; fmt:= 'MOV'+#9+'H,H'; group:= Egroup.data; mode:= Emode.reg; len:= 1; cycle:= [1]; state:= [4]; end;</v>
      </c>
    </row>
    <row r="103" spans="1:4" ht="67.5" x14ac:dyDescent="0.25">
      <c r="A103" s="19" t="str">
        <f>"op"&amp;"_"&amp;OpCode!B103&amp;ConvertFormat2(OpCode!C103)</f>
        <v>op_MOV_HL</v>
      </c>
      <c r="B103" s="20" t="str">
        <f t="shared" si="1"/>
        <v>procedure TCPU_8085.op_MOV_HL;</v>
      </c>
      <c r="C103" s="21" t="str">
        <f>$B103&amp;CHAR(10)&amp;ConvertCode(OpCode!K103,OpCode!I103,OpCode!G103,OpCode!H103)</f>
        <v>procedure TCPU_8085.op_MOV_HL;
begin
  H:= (L and $FF);
  inc(cycles);
  inc(states, 4);
end;</v>
      </c>
      <c r="D103" s="21" t="str">
        <f>"with OpCodes[$"&amp;OpCode!A103&amp;"] do begin" &amp;
" code:= @"&amp;A103&amp;";"&amp;
" inst:= '"&amp;OpCode!B103&amp;"';"&amp;
" fmt:= '"&amp;OpCode!B103&amp;IF(OpCode!C103&lt;&gt;"","'+#9+'"&amp;convertFormat(OpCode!C103),"")&amp;"'"&amp;";"&amp;
" group:= Egroup."&amp;OpCode!D103&amp;";"&amp;
" mode:= Emode."&amp;OpCode!E103&amp;";"&amp;
" len:= "&amp;OpCode!F103&amp;";"&amp;
" cycle:= ["&amp;SUBSTITUTE(OpCode!G103,"|",",")&amp;"];"&amp;
" state:= ["&amp;SUBSTITUTE(OpCode!H103,"|",",")&amp;"];"&amp;
" end;"</f>
        <v>with OpCodes[$65] do begin code:= @op_MOV_HL; inst:= 'MOV'; fmt:= 'MOV'+#9+'H,L'; group:= Egroup.data; mode:= Emode.reg; len:= 1; cycle:= [1]; state:= [4]; end;</v>
      </c>
    </row>
    <row r="104" spans="1:4" ht="101.25" x14ac:dyDescent="0.25">
      <c r="A104" s="19" t="str">
        <f>"op"&amp;"_"&amp;OpCode!B104&amp;ConvertFormat2(OpCode!C104)</f>
        <v>op_MOV_HM</v>
      </c>
      <c r="B104" s="20" t="str">
        <f t="shared" si="1"/>
        <v>procedure TCPU_8085.op_MOV_HM;</v>
      </c>
      <c r="C104" s="21" t="str">
        <f>$B104&amp;CHAR(10)&amp;ConvertCode(OpCode!K104,OpCode!I104,OpCode!G104,OpCode!H104)</f>
        <v>procedure TCPU_8085.op_MOV_HM;
var 
  HL: iSize16;
begin
  HL:= H shl 8 + L;
  H:= ReadMem(HL);
  inc(cycles, 2);
  inc(states, 7);
end;</v>
      </c>
      <c r="D104" s="21" t="str">
        <f>"with OpCodes[$"&amp;OpCode!A104&amp;"] do begin" &amp;
" code:= @"&amp;A104&amp;";"&amp;
" inst:= '"&amp;OpCode!B104&amp;"';"&amp;
" fmt:= '"&amp;OpCode!B104&amp;IF(OpCode!C104&lt;&gt;"","'+#9+'"&amp;convertFormat(OpCode!C104),"")&amp;"'"&amp;";"&amp;
" group:= Egroup."&amp;OpCode!D104&amp;";"&amp;
" mode:= Emode."&amp;OpCode!E104&amp;";"&amp;
" len:= "&amp;OpCode!F104&amp;";"&amp;
" cycle:= ["&amp;SUBSTITUTE(OpCode!G104,"|",",")&amp;"];"&amp;
" state:= ["&amp;SUBSTITUTE(OpCode!H104,"|",",")&amp;"];"&amp;
" end;"</f>
        <v>with OpCodes[$66] do begin code:= @op_MOV_HM; inst:= 'MOV'; fmt:= 'MOV'+#9+'H,M'; group:= Egroup.data; mode:= Emode.ind_reg; len:= 1; cycle:= [2]; state:= [7]; end;</v>
      </c>
    </row>
    <row r="105" spans="1:4" ht="67.5" x14ac:dyDescent="0.25">
      <c r="A105" s="19" t="str">
        <f>"op"&amp;"_"&amp;OpCode!B105&amp;ConvertFormat2(OpCode!C105)</f>
        <v>op_MOV_HA</v>
      </c>
      <c r="B105" s="20" t="str">
        <f t="shared" si="1"/>
        <v>procedure TCPU_8085.op_MOV_HA;</v>
      </c>
      <c r="C105" s="21" t="str">
        <f>$B105&amp;CHAR(10)&amp;ConvertCode(OpCode!K105,OpCode!I105,OpCode!G105,OpCode!H105)</f>
        <v>procedure TCPU_8085.op_MOV_HA;
begin
  H:= (A and $FF);
  inc(cycles);
  inc(states, 4);
end;</v>
      </c>
      <c r="D105" s="21" t="str">
        <f>"with OpCodes[$"&amp;OpCode!A105&amp;"] do begin" &amp;
" code:= @"&amp;A105&amp;";"&amp;
" inst:= '"&amp;OpCode!B105&amp;"';"&amp;
" fmt:= '"&amp;OpCode!B105&amp;IF(OpCode!C105&lt;&gt;"","'+#9+'"&amp;convertFormat(OpCode!C105),"")&amp;"'"&amp;";"&amp;
" group:= Egroup."&amp;OpCode!D105&amp;";"&amp;
" mode:= Emode."&amp;OpCode!E105&amp;";"&amp;
" len:= "&amp;OpCode!F105&amp;";"&amp;
" cycle:= ["&amp;SUBSTITUTE(OpCode!G105,"|",",")&amp;"];"&amp;
" state:= ["&amp;SUBSTITUTE(OpCode!H105,"|",",")&amp;"];"&amp;
" end;"</f>
        <v>with OpCodes[$67] do begin code:= @op_MOV_HA; inst:= 'MOV'; fmt:= 'MOV'+#9+'H,A'; group:= Egroup.data; mode:= Emode.reg; len:= 1; cycle:= [1]; state:= [4]; end;</v>
      </c>
    </row>
    <row r="106" spans="1:4" ht="67.5" x14ac:dyDescent="0.25">
      <c r="A106" s="19" t="str">
        <f>"op"&amp;"_"&amp;OpCode!B106&amp;ConvertFormat2(OpCode!C106)</f>
        <v>op_MOV_LB</v>
      </c>
      <c r="B106" s="20" t="str">
        <f t="shared" si="1"/>
        <v>procedure TCPU_8085.op_MOV_LB;</v>
      </c>
      <c r="C106" s="21" t="str">
        <f>$B106&amp;CHAR(10)&amp;ConvertCode(OpCode!K106,OpCode!I106,OpCode!G106,OpCode!H106)</f>
        <v>procedure TCPU_8085.op_MOV_LB;
begin
  L:= (B and $FF);
  inc(cycles);
  inc(states, 4);
end;</v>
      </c>
      <c r="D106" s="21" t="str">
        <f>"with OpCodes[$"&amp;OpCode!A106&amp;"] do begin" &amp;
" code:= @"&amp;A106&amp;";"&amp;
" inst:= '"&amp;OpCode!B106&amp;"';"&amp;
" fmt:= '"&amp;OpCode!B106&amp;IF(OpCode!C106&lt;&gt;"","'+#9+'"&amp;convertFormat(OpCode!C106),"")&amp;"'"&amp;";"&amp;
" group:= Egroup."&amp;OpCode!D106&amp;";"&amp;
" mode:= Emode."&amp;OpCode!E106&amp;";"&amp;
" len:= "&amp;OpCode!F106&amp;";"&amp;
" cycle:= ["&amp;SUBSTITUTE(OpCode!G106,"|",",")&amp;"];"&amp;
" state:= ["&amp;SUBSTITUTE(OpCode!H106,"|",",")&amp;"];"&amp;
" end;"</f>
        <v>with OpCodes[$68] do begin code:= @op_MOV_LB; inst:= 'MOV'; fmt:= 'MOV'+#9+'L,B'; group:= Egroup.data; mode:= Emode.reg; len:= 1; cycle:= [1]; state:= [4]; end;</v>
      </c>
    </row>
    <row r="107" spans="1:4" ht="67.5" x14ac:dyDescent="0.25">
      <c r="A107" s="19" t="str">
        <f>"op"&amp;"_"&amp;OpCode!B107&amp;ConvertFormat2(OpCode!C107)</f>
        <v>op_MOV_LC</v>
      </c>
      <c r="B107" s="20" t="str">
        <f t="shared" si="1"/>
        <v>procedure TCPU_8085.op_MOV_LC;</v>
      </c>
      <c r="C107" s="21" t="str">
        <f>$B107&amp;CHAR(10)&amp;ConvertCode(OpCode!K107,OpCode!I107,OpCode!G107,OpCode!H107)</f>
        <v>procedure TCPU_8085.op_MOV_LC;
begin
  L:= (C and $FF);
  inc(cycles);
  inc(states, 4);
end;</v>
      </c>
      <c r="D107" s="21" t="str">
        <f>"with OpCodes[$"&amp;OpCode!A107&amp;"] do begin" &amp;
" code:= @"&amp;A107&amp;";"&amp;
" inst:= '"&amp;OpCode!B107&amp;"';"&amp;
" fmt:= '"&amp;OpCode!B107&amp;IF(OpCode!C107&lt;&gt;"","'+#9+'"&amp;convertFormat(OpCode!C107),"")&amp;"'"&amp;";"&amp;
" group:= Egroup."&amp;OpCode!D107&amp;";"&amp;
" mode:= Emode."&amp;OpCode!E107&amp;";"&amp;
" len:= "&amp;OpCode!F107&amp;";"&amp;
" cycle:= ["&amp;SUBSTITUTE(OpCode!G107,"|",",")&amp;"];"&amp;
" state:= ["&amp;SUBSTITUTE(OpCode!H107,"|",",")&amp;"];"&amp;
" end;"</f>
        <v>with OpCodes[$69] do begin code:= @op_MOV_LC; inst:= 'MOV'; fmt:= 'MOV'+#9+'L,C'; group:= Egroup.data; mode:= Emode.reg; len:= 1; cycle:= [1]; state:= [4]; end;</v>
      </c>
    </row>
    <row r="108" spans="1:4" ht="67.5" x14ac:dyDescent="0.25">
      <c r="A108" s="19" t="str">
        <f>"op"&amp;"_"&amp;OpCode!B108&amp;ConvertFormat2(OpCode!C108)</f>
        <v>op_MOV_LD</v>
      </c>
      <c r="B108" s="20" t="str">
        <f t="shared" si="1"/>
        <v>procedure TCPU_8085.op_MOV_LD;</v>
      </c>
      <c r="C108" s="21" t="str">
        <f>$B108&amp;CHAR(10)&amp;ConvertCode(OpCode!K108,OpCode!I108,OpCode!G108,OpCode!H108)</f>
        <v>procedure TCPU_8085.op_MOV_LD;
begin
  L:= (D and $FF);
  inc(cycles);
  inc(states, 4);
end;</v>
      </c>
      <c r="D108" s="21" t="str">
        <f>"with OpCodes[$"&amp;OpCode!A108&amp;"] do begin" &amp;
" code:= @"&amp;A108&amp;";"&amp;
" inst:= '"&amp;OpCode!B108&amp;"';"&amp;
" fmt:= '"&amp;OpCode!B108&amp;IF(OpCode!C108&lt;&gt;"","'+#9+'"&amp;convertFormat(OpCode!C108),"")&amp;"'"&amp;";"&amp;
" group:= Egroup."&amp;OpCode!D108&amp;";"&amp;
" mode:= Emode."&amp;OpCode!E108&amp;";"&amp;
" len:= "&amp;OpCode!F108&amp;";"&amp;
" cycle:= ["&amp;SUBSTITUTE(OpCode!G108,"|",",")&amp;"];"&amp;
" state:= ["&amp;SUBSTITUTE(OpCode!H108,"|",",")&amp;"];"&amp;
" end;"</f>
        <v>with OpCodes[$6A] do begin code:= @op_MOV_LD; inst:= 'MOV'; fmt:= 'MOV'+#9+'L,D'; group:= Egroup.data; mode:= Emode.reg; len:= 1; cycle:= [1]; state:= [4]; end;</v>
      </c>
    </row>
    <row r="109" spans="1:4" ht="67.5" x14ac:dyDescent="0.25">
      <c r="A109" s="19" t="str">
        <f>"op"&amp;"_"&amp;OpCode!B109&amp;ConvertFormat2(OpCode!C109)</f>
        <v>op_MOV_LE</v>
      </c>
      <c r="B109" s="20" t="str">
        <f t="shared" si="1"/>
        <v>procedure TCPU_8085.op_MOV_LE;</v>
      </c>
      <c r="C109" s="21" t="str">
        <f>$B109&amp;CHAR(10)&amp;ConvertCode(OpCode!K109,OpCode!I109,OpCode!G109,OpCode!H109)</f>
        <v>procedure TCPU_8085.op_MOV_LE;
begin
  L:= (E and $FF);
  inc(cycles);
  inc(states, 4);
end;</v>
      </c>
      <c r="D109" s="21" t="str">
        <f>"with OpCodes[$"&amp;OpCode!A109&amp;"] do begin" &amp;
" code:= @"&amp;A109&amp;";"&amp;
" inst:= '"&amp;OpCode!B109&amp;"';"&amp;
" fmt:= '"&amp;OpCode!B109&amp;IF(OpCode!C109&lt;&gt;"","'+#9+'"&amp;convertFormat(OpCode!C109),"")&amp;"'"&amp;";"&amp;
" group:= Egroup."&amp;OpCode!D109&amp;";"&amp;
" mode:= Emode."&amp;OpCode!E109&amp;";"&amp;
" len:= "&amp;OpCode!F109&amp;";"&amp;
" cycle:= ["&amp;SUBSTITUTE(OpCode!G109,"|",",")&amp;"];"&amp;
" state:= ["&amp;SUBSTITUTE(OpCode!H109,"|",",")&amp;"];"&amp;
" end;"</f>
        <v>with OpCodes[$6B] do begin code:= @op_MOV_LE; inst:= 'MOV'; fmt:= 'MOV'+#9+'L,E'; group:= Egroup.data; mode:= Emode.reg; len:= 1; cycle:= [1]; state:= [4]; end;</v>
      </c>
    </row>
    <row r="110" spans="1:4" ht="67.5" x14ac:dyDescent="0.25">
      <c r="A110" s="19" t="str">
        <f>"op"&amp;"_"&amp;OpCode!B110&amp;ConvertFormat2(OpCode!C110)</f>
        <v>op_MOV_LH</v>
      </c>
      <c r="B110" s="20" t="str">
        <f t="shared" si="1"/>
        <v>procedure TCPU_8085.op_MOV_LH;</v>
      </c>
      <c r="C110" s="21" t="str">
        <f>$B110&amp;CHAR(10)&amp;ConvertCode(OpCode!K110,OpCode!I110,OpCode!G110,OpCode!H110)</f>
        <v>procedure TCPU_8085.op_MOV_LH;
begin
  L:= (H and $FF);
  inc(cycles);
  inc(states, 4);
end;</v>
      </c>
      <c r="D110" s="21" t="str">
        <f>"with OpCodes[$"&amp;OpCode!A110&amp;"] do begin" &amp;
" code:= @"&amp;A110&amp;";"&amp;
" inst:= '"&amp;OpCode!B110&amp;"';"&amp;
" fmt:= '"&amp;OpCode!B110&amp;IF(OpCode!C110&lt;&gt;"","'+#9+'"&amp;convertFormat(OpCode!C110),"")&amp;"'"&amp;";"&amp;
" group:= Egroup."&amp;OpCode!D110&amp;";"&amp;
" mode:= Emode."&amp;OpCode!E110&amp;";"&amp;
" len:= "&amp;OpCode!F110&amp;";"&amp;
" cycle:= ["&amp;SUBSTITUTE(OpCode!G110,"|",",")&amp;"];"&amp;
" state:= ["&amp;SUBSTITUTE(OpCode!H110,"|",",")&amp;"];"&amp;
" end;"</f>
        <v>with OpCodes[$6C] do begin code:= @op_MOV_LH; inst:= 'MOV'; fmt:= 'MOV'+#9+'L,H'; group:= Egroup.data; mode:= Emode.reg; len:= 1; cycle:= [1]; state:= [4]; end;</v>
      </c>
    </row>
    <row r="111" spans="1:4" ht="67.5" x14ac:dyDescent="0.25">
      <c r="A111" s="19" t="str">
        <f>"op"&amp;"_"&amp;OpCode!B111&amp;ConvertFormat2(OpCode!C111)</f>
        <v>op_MOV_LL</v>
      </c>
      <c r="B111" s="20" t="str">
        <f t="shared" si="1"/>
        <v>procedure TCPU_8085.op_MOV_LL;</v>
      </c>
      <c r="C111" s="21" t="str">
        <f>$B111&amp;CHAR(10)&amp;ConvertCode(OpCode!K111,OpCode!I111,OpCode!G111,OpCode!H111)</f>
        <v>procedure TCPU_8085.op_MOV_LL;
begin
  L:= (L and $FF);
  inc(cycles);
  inc(states, 4);
end;</v>
      </c>
      <c r="D111" s="21" t="str">
        <f>"with OpCodes[$"&amp;OpCode!A111&amp;"] do begin" &amp;
" code:= @"&amp;A111&amp;";"&amp;
" inst:= '"&amp;OpCode!B111&amp;"';"&amp;
" fmt:= '"&amp;OpCode!B111&amp;IF(OpCode!C111&lt;&gt;"","'+#9+'"&amp;convertFormat(OpCode!C111),"")&amp;"'"&amp;";"&amp;
" group:= Egroup."&amp;OpCode!D111&amp;";"&amp;
" mode:= Emode."&amp;OpCode!E111&amp;";"&amp;
" len:= "&amp;OpCode!F111&amp;";"&amp;
" cycle:= ["&amp;SUBSTITUTE(OpCode!G111,"|",",")&amp;"];"&amp;
" state:= ["&amp;SUBSTITUTE(OpCode!H111,"|",",")&amp;"];"&amp;
" end;"</f>
        <v>with OpCodes[$6D] do begin code:= @op_MOV_LL; inst:= 'MOV'; fmt:= 'MOV'+#9+'L,L'; group:= Egroup.data; mode:= Emode.reg; len:= 1; cycle:= [1]; state:= [4]; end;</v>
      </c>
    </row>
    <row r="112" spans="1:4" ht="101.25" x14ac:dyDescent="0.25">
      <c r="A112" s="19" t="str">
        <f>"op"&amp;"_"&amp;OpCode!B112&amp;ConvertFormat2(OpCode!C112)</f>
        <v>op_MOV_LM</v>
      </c>
      <c r="B112" s="20" t="str">
        <f t="shared" si="1"/>
        <v>procedure TCPU_8085.op_MOV_LM;</v>
      </c>
      <c r="C112" s="21" t="str">
        <f>$B112&amp;CHAR(10)&amp;ConvertCode(OpCode!K112,OpCode!I112,OpCode!G112,OpCode!H112)</f>
        <v>procedure TCPU_8085.op_MOV_LM;
var 
  HL: iSize16;
begin
  HL:= H shl 8 + L;
  L:= ReadMem(HL);
  inc(cycles, 2);
  inc(states, 7);
end;</v>
      </c>
      <c r="D112" s="21" t="str">
        <f>"with OpCodes[$"&amp;OpCode!A112&amp;"] do begin" &amp;
" code:= @"&amp;A112&amp;";"&amp;
" inst:= '"&amp;OpCode!B112&amp;"';"&amp;
" fmt:= '"&amp;OpCode!B112&amp;IF(OpCode!C112&lt;&gt;"","'+#9+'"&amp;convertFormat(OpCode!C112),"")&amp;"'"&amp;";"&amp;
" group:= Egroup."&amp;OpCode!D112&amp;";"&amp;
" mode:= Emode."&amp;OpCode!E112&amp;";"&amp;
" len:= "&amp;OpCode!F112&amp;";"&amp;
" cycle:= ["&amp;SUBSTITUTE(OpCode!G112,"|",",")&amp;"];"&amp;
" state:= ["&amp;SUBSTITUTE(OpCode!H112,"|",",")&amp;"];"&amp;
" end;"</f>
        <v>with OpCodes[$6E] do begin code:= @op_MOV_LM; inst:= 'MOV'; fmt:= 'MOV'+#9+'L,M'; group:= Egroup.data; mode:= Emode.ind_reg; len:= 1; cycle:= [2]; state:= [7]; end;</v>
      </c>
    </row>
    <row r="113" spans="1:4" ht="67.5" x14ac:dyDescent="0.25">
      <c r="A113" s="19" t="str">
        <f>"op"&amp;"_"&amp;OpCode!B113&amp;ConvertFormat2(OpCode!C113)</f>
        <v>op_MOV_LA</v>
      </c>
      <c r="B113" s="20" t="str">
        <f t="shared" si="1"/>
        <v>procedure TCPU_8085.op_MOV_LA;</v>
      </c>
      <c r="C113" s="21" t="str">
        <f>$B113&amp;CHAR(10)&amp;ConvertCode(OpCode!K113,OpCode!I113,OpCode!G113,OpCode!H113)</f>
        <v>procedure TCPU_8085.op_MOV_LA;
begin
  L:= (A and $FF);
  inc(cycles);
  inc(states, 4);
end;</v>
      </c>
      <c r="D113" s="21" t="str">
        <f>"with OpCodes[$"&amp;OpCode!A113&amp;"] do begin" &amp;
" code:= @"&amp;A113&amp;";"&amp;
" inst:= '"&amp;OpCode!B113&amp;"';"&amp;
" fmt:= '"&amp;OpCode!B113&amp;IF(OpCode!C113&lt;&gt;"","'+#9+'"&amp;convertFormat(OpCode!C113),"")&amp;"'"&amp;";"&amp;
" group:= Egroup."&amp;OpCode!D113&amp;";"&amp;
" mode:= Emode."&amp;OpCode!E113&amp;";"&amp;
" len:= "&amp;OpCode!F113&amp;";"&amp;
" cycle:= ["&amp;SUBSTITUTE(OpCode!G113,"|",",")&amp;"];"&amp;
" state:= ["&amp;SUBSTITUTE(OpCode!H113,"|",",")&amp;"];"&amp;
" end;"</f>
        <v>with OpCodes[$6F] do begin code:= @op_MOV_LA; inst:= 'MOV'; fmt:= 'MOV'+#9+'L,A'; group:= Egroup.data; mode:= Emode.reg; len:= 1; cycle:= [1]; state:= [4]; end;</v>
      </c>
    </row>
    <row r="114" spans="1:4" ht="101.25" x14ac:dyDescent="0.25">
      <c r="A114" s="19" t="str">
        <f>"op"&amp;"_"&amp;OpCode!B114&amp;ConvertFormat2(OpCode!C114)</f>
        <v>op_MOV_MB</v>
      </c>
      <c r="B114" s="20" t="str">
        <f t="shared" si="1"/>
        <v>procedure TCPU_8085.op_MOV_MB;</v>
      </c>
      <c r="C114" s="21" t="str">
        <f>$B114&amp;CHAR(10)&amp;ConvertCode(OpCode!K114,OpCode!I114,OpCode!G114,OpCode!H114)</f>
        <v>procedure TCPU_8085.op_MOV_MB;
var 
  HL: iSize16;
begin
  HL:= H shl 8 + L;
  WriteMem(HL, B);
  inc(cycles, 2);
  inc(states, 7);
end;</v>
      </c>
      <c r="D114" s="21" t="str">
        <f>"with OpCodes[$"&amp;OpCode!A114&amp;"] do begin" &amp;
" code:= @"&amp;A114&amp;";"&amp;
" inst:= '"&amp;OpCode!B114&amp;"';"&amp;
" fmt:= '"&amp;OpCode!B114&amp;IF(OpCode!C114&lt;&gt;"","'+#9+'"&amp;convertFormat(OpCode!C114),"")&amp;"'"&amp;";"&amp;
" group:= Egroup."&amp;OpCode!D114&amp;";"&amp;
" mode:= Emode."&amp;OpCode!E114&amp;";"&amp;
" len:= "&amp;OpCode!F114&amp;";"&amp;
" cycle:= ["&amp;SUBSTITUTE(OpCode!G114,"|",",")&amp;"];"&amp;
" state:= ["&amp;SUBSTITUTE(OpCode!H114,"|",",")&amp;"];"&amp;
" end;"</f>
        <v>with OpCodes[$70] do begin code:= @op_MOV_MB; inst:= 'MOV'; fmt:= 'MOV'+#9+'M,B'; group:= Egroup.data; mode:= Emode.ind_reg; len:= 1; cycle:= [2]; state:= [7]; end;</v>
      </c>
    </row>
    <row r="115" spans="1:4" ht="101.25" x14ac:dyDescent="0.25">
      <c r="A115" s="19" t="str">
        <f>"op"&amp;"_"&amp;OpCode!B115&amp;ConvertFormat2(OpCode!C115)</f>
        <v>op_MOV_MC</v>
      </c>
      <c r="B115" s="20" t="str">
        <f t="shared" si="1"/>
        <v>procedure TCPU_8085.op_MOV_MC;</v>
      </c>
      <c r="C115" s="21" t="str">
        <f>$B115&amp;CHAR(10)&amp;ConvertCode(OpCode!K115,OpCode!I115,OpCode!G115,OpCode!H115)</f>
        <v>procedure TCPU_8085.op_MOV_MC;
var 
  HL: iSize16;
begin
  HL:= H shl 8 + L;
  WriteMem(HL, C);
  inc(cycles, 2);
  inc(states, 7);
end;</v>
      </c>
      <c r="D115" s="21" t="str">
        <f>"with OpCodes[$"&amp;OpCode!A115&amp;"] do begin" &amp;
" code:= @"&amp;A115&amp;";"&amp;
" inst:= '"&amp;OpCode!B115&amp;"';"&amp;
" fmt:= '"&amp;OpCode!B115&amp;IF(OpCode!C115&lt;&gt;"","'+#9+'"&amp;convertFormat(OpCode!C115),"")&amp;"'"&amp;";"&amp;
" group:= Egroup."&amp;OpCode!D115&amp;";"&amp;
" mode:= Emode."&amp;OpCode!E115&amp;";"&amp;
" len:= "&amp;OpCode!F115&amp;";"&amp;
" cycle:= ["&amp;SUBSTITUTE(OpCode!G115,"|",",")&amp;"];"&amp;
" state:= ["&amp;SUBSTITUTE(OpCode!H115,"|",",")&amp;"];"&amp;
" end;"</f>
        <v>with OpCodes[$71] do begin code:= @op_MOV_MC; inst:= 'MOV'; fmt:= 'MOV'+#9+'M,C'; group:= Egroup.data; mode:= Emode.ind_reg; len:= 1; cycle:= [2]; state:= [7]; end;</v>
      </c>
    </row>
    <row r="116" spans="1:4" ht="101.25" x14ac:dyDescent="0.25">
      <c r="A116" s="19" t="str">
        <f>"op"&amp;"_"&amp;OpCode!B116&amp;ConvertFormat2(OpCode!C116)</f>
        <v>op_MOV_MD</v>
      </c>
      <c r="B116" s="20" t="str">
        <f t="shared" si="1"/>
        <v>procedure TCPU_8085.op_MOV_MD;</v>
      </c>
      <c r="C116" s="21" t="str">
        <f>$B116&amp;CHAR(10)&amp;ConvertCode(OpCode!K116,OpCode!I116,OpCode!G116,OpCode!H116)</f>
        <v>procedure TCPU_8085.op_MOV_MD;
var 
  HL: iSize16;
begin
  HL:= H shl 8 + L;
  WriteMem(HL, D);
  inc(cycles, 2);
  inc(states, 7);
end;</v>
      </c>
      <c r="D116" s="21" t="str">
        <f>"with OpCodes[$"&amp;OpCode!A116&amp;"] do begin" &amp;
" code:= @"&amp;A116&amp;";"&amp;
" inst:= '"&amp;OpCode!B116&amp;"';"&amp;
" fmt:= '"&amp;OpCode!B116&amp;IF(OpCode!C116&lt;&gt;"","'+#9+'"&amp;convertFormat(OpCode!C116),"")&amp;"'"&amp;";"&amp;
" group:= Egroup."&amp;OpCode!D116&amp;";"&amp;
" mode:= Emode."&amp;OpCode!E116&amp;";"&amp;
" len:= "&amp;OpCode!F116&amp;";"&amp;
" cycle:= ["&amp;SUBSTITUTE(OpCode!G116,"|",",")&amp;"];"&amp;
" state:= ["&amp;SUBSTITUTE(OpCode!H116,"|",",")&amp;"];"&amp;
" end;"</f>
        <v>with OpCodes[$72] do begin code:= @op_MOV_MD; inst:= 'MOV'; fmt:= 'MOV'+#9+'M,D'; group:= Egroup.data; mode:= Emode.ind_reg; len:= 1; cycle:= [2]; state:= [7]; end;</v>
      </c>
    </row>
    <row r="117" spans="1:4" ht="101.25" x14ac:dyDescent="0.25">
      <c r="A117" s="19" t="str">
        <f>"op"&amp;"_"&amp;OpCode!B117&amp;ConvertFormat2(OpCode!C117)</f>
        <v>op_MOV_ME</v>
      </c>
      <c r="B117" s="20" t="str">
        <f t="shared" si="1"/>
        <v>procedure TCPU_8085.op_MOV_ME;</v>
      </c>
      <c r="C117" s="21" t="str">
        <f>$B117&amp;CHAR(10)&amp;ConvertCode(OpCode!K117,OpCode!I117,OpCode!G117,OpCode!H117)</f>
        <v>procedure TCPU_8085.op_MOV_ME;
var 
  HL: iSize16;
begin
  HL:= H shl 8 + L;
  WriteMem(HL, E);
  inc(cycles, 2);
  inc(states, 7);
end;</v>
      </c>
      <c r="D117" s="21" t="str">
        <f>"with OpCodes[$"&amp;OpCode!A117&amp;"] do begin" &amp;
" code:= @"&amp;A117&amp;";"&amp;
" inst:= '"&amp;OpCode!B117&amp;"';"&amp;
" fmt:= '"&amp;OpCode!B117&amp;IF(OpCode!C117&lt;&gt;"","'+#9+'"&amp;convertFormat(OpCode!C117),"")&amp;"'"&amp;";"&amp;
" group:= Egroup."&amp;OpCode!D117&amp;";"&amp;
" mode:= Emode."&amp;OpCode!E117&amp;";"&amp;
" len:= "&amp;OpCode!F117&amp;";"&amp;
" cycle:= ["&amp;SUBSTITUTE(OpCode!G117,"|",",")&amp;"];"&amp;
" state:= ["&amp;SUBSTITUTE(OpCode!H117,"|",",")&amp;"];"&amp;
" end;"</f>
        <v>with OpCodes[$73] do begin code:= @op_MOV_ME; inst:= 'MOV'; fmt:= 'MOV'+#9+'M,E'; group:= Egroup.data; mode:= Emode.ind_reg; len:= 1; cycle:= [2]; state:= [7]; end;</v>
      </c>
    </row>
    <row r="118" spans="1:4" ht="101.25" x14ac:dyDescent="0.25">
      <c r="A118" s="19" t="str">
        <f>"op"&amp;"_"&amp;OpCode!B118&amp;ConvertFormat2(OpCode!C118)</f>
        <v>op_MOV_MH</v>
      </c>
      <c r="B118" s="20" t="str">
        <f t="shared" si="1"/>
        <v>procedure TCPU_8085.op_MOV_MH;</v>
      </c>
      <c r="C118" s="21" t="str">
        <f>$B118&amp;CHAR(10)&amp;ConvertCode(OpCode!K118,OpCode!I118,OpCode!G118,OpCode!H118)</f>
        <v>procedure TCPU_8085.op_MOV_MH;
var 
  HL: iSize16;
begin
  HL:= H shl 8 + L;
  WriteMem(HL, H);
  inc(cycles, 2);
  inc(states, 7);
end;</v>
      </c>
      <c r="D118" s="21" t="str">
        <f>"with OpCodes[$"&amp;OpCode!A118&amp;"] do begin" &amp;
" code:= @"&amp;A118&amp;";"&amp;
" inst:= '"&amp;OpCode!B118&amp;"';"&amp;
" fmt:= '"&amp;OpCode!B118&amp;IF(OpCode!C118&lt;&gt;"","'+#9+'"&amp;convertFormat(OpCode!C118),"")&amp;"'"&amp;";"&amp;
" group:= Egroup."&amp;OpCode!D118&amp;";"&amp;
" mode:= Emode."&amp;OpCode!E118&amp;";"&amp;
" len:= "&amp;OpCode!F118&amp;";"&amp;
" cycle:= ["&amp;SUBSTITUTE(OpCode!G118,"|",",")&amp;"];"&amp;
" state:= ["&amp;SUBSTITUTE(OpCode!H118,"|",",")&amp;"];"&amp;
" end;"</f>
        <v>with OpCodes[$74] do begin code:= @op_MOV_MH; inst:= 'MOV'; fmt:= 'MOV'+#9+'M,H'; group:= Egroup.data; mode:= Emode.ind_reg; len:= 1; cycle:= [2]; state:= [7]; end;</v>
      </c>
    </row>
    <row r="119" spans="1:4" ht="101.25" x14ac:dyDescent="0.25">
      <c r="A119" s="19" t="str">
        <f>"op"&amp;"_"&amp;OpCode!B119&amp;ConvertFormat2(OpCode!C119)</f>
        <v>op_MOV_ML</v>
      </c>
      <c r="B119" s="20" t="str">
        <f t="shared" si="1"/>
        <v>procedure TCPU_8085.op_MOV_ML;</v>
      </c>
      <c r="C119" s="21" t="str">
        <f>$B119&amp;CHAR(10)&amp;ConvertCode(OpCode!K119,OpCode!I119,OpCode!G119,OpCode!H119)</f>
        <v>procedure TCPU_8085.op_MOV_ML;
var 
  HL: iSize16;
begin
  HL:= H shl 8 + L;
  WriteMem(HL, L);
  inc(cycles, 2);
  inc(states, 7);
end;</v>
      </c>
      <c r="D119" s="21" t="str">
        <f>"with OpCodes[$"&amp;OpCode!A119&amp;"] do begin" &amp;
" code:= @"&amp;A119&amp;";"&amp;
" inst:= '"&amp;OpCode!B119&amp;"';"&amp;
" fmt:= '"&amp;OpCode!B119&amp;IF(OpCode!C119&lt;&gt;"","'+#9+'"&amp;convertFormat(OpCode!C119),"")&amp;"'"&amp;";"&amp;
" group:= Egroup."&amp;OpCode!D119&amp;";"&amp;
" mode:= Emode."&amp;OpCode!E119&amp;";"&amp;
" len:= "&amp;OpCode!F119&amp;";"&amp;
" cycle:= ["&amp;SUBSTITUTE(OpCode!G119,"|",",")&amp;"];"&amp;
" state:= ["&amp;SUBSTITUTE(OpCode!H119,"|",",")&amp;"];"&amp;
" end;"</f>
        <v>with OpCodes[$75] do begin code:= @op_MOV_ML; inst:= 'MOV'; fmt:= 'MOV'+#9+'M,L'; group:= Egroup.data; mode:= Emode.ind_reg; len:= 1; cycle:= [2]; state:= [7]; end;</v>
      </c>
    </row>
    <row r="120" spans="1:4" ht="67.5" x14ac:dyDescent="0.25">
      <c r="A120" s="19" t="str">
        <f>"op"&amp;"_"&amp;OpCode!B120&amp;ConvertFormat2(OpCode!C120)</f>
        <v>op_HLT</v>
      </c>
      <c r="B120" s="20" t="str">
        <f t="shared" si="1"/>
        <v>procedure TCPU_8085.op_HLT;</v>
      </c>
      <c r="C120" s="21" t="str">
        <f>$B120&amp;CHAR(10)&amp;ConvertCode(OpCode!K120,OpCode!I120,OpCode!G120,OpCode!H120)</f>
        <v>procedure TCPU_8085.op_HLT;
begin
  Special;
  inc(cycles);
  inc(states, 5);
end;</v>
      </c>
      <c r="D120" s="21" t="str">
        <f>"with OpCodes[$"&amp;OpCode!A120&amp;"] do begin" &amp;
" code:= @"&amp;A120&amp;";"&amp;
" inst:= '"&amp;OpCode!B120&amp;"';"&amp;
" fmt:= '"&amp;OpCode!B120&amp;IF(OpCode!C120&lt;&gt;"","'+#9+'"&amp;convertFormat(OpCode!C120),"")&amp;"'"&amp;";"&amp;
" group:= Egroup."&amp;OpCode!D120&amp;";"&amp;
" mode:= Emode."&amp;OpCode!E120&amp;";"&amp;
" len:= "&amp;OpCode!F120&amp;";"&amp;
" cycle:= ["&amp;SUBSTITUTE(OpCode!G120,"|",",")&amp;"];"&amp;
" state:= ["&amp;SUBSTITUTE(OpCode!H120,"|",",")&amp;"];"&amp;
" end;"</f>
        <v>with OpCodes[$76] do begin code:= @op_HLT; inst:= 'HLT'; fmt:= 'HLT'; group:= Egroup.control; mode:= Emode.imp; len:= 1; cycle:= [1]; state:= [5]; end;</v>
      </c>
    </row>
    <row r="121" spans="1:4" ht="101.25" x14ac:dyDescent="0.25">
      <c r="A121" s="19" t="str">
        <f>"op"&amp;"_"&amp;OpCode!B121&amp;ConvertFormat2(OpCode!C121)</f>
        <v>op_MOV_MA</v>
      </c>
      <c r="B121" s="20" t="str">
        <f t="shared" si="1"/>
        <v>procedure TCPU_8085.op_MOV_MA;</v>
      </c>
      <c r="C121" s="21" t="str">
        <f>$B121&amp;CHAR(10)&amp;ConvertCode(OpCode!K121,OpCode!I121,OpCode!G121,OpCode!H121)</f>
        <v>procedure TCPU_8085.op_MOV_MA;
var 
  HL: iSize16;
begin
  HL:= H shl 8 + L;
  WriteMem(HL, A);
  inc(cycles, 2);
  inc(states, 7);
end;</v>
      </c>
      <c r="D121" s="21" t="str">
        <f>"with OpCodes[$"&amp;OpCode!A121&amp;"] do begin" &amp;
" code:= @"&amp;A121&amp;";"&amp;
" inst:= '"&amp;OpCode!B121&amp;"';"&amp;
" fmt:= '"&amp;OpCode!B121&amp;IF(OpCode!C121&lt;&gt;"","'+#9+'"&amp;convertFormat(OpCode!C121),"")&amp;"'"&amp;";"&amp;
" group:= Egroup."&amp;OpCode!D121&amp;";"&amp;
" mode:= Emode."&amp;OpCode!E121&amp;";"&amp;
" len:= "&amp;OpCode!F121&amp;";"&amp;
" cycle:= ["&amp;SUBSTITUTE(OpCode!G121,"|",",")&amp;"];"&amp;
" state:= ["&amp;SUBSTITUTE(OpCode!H121,"|",",")&amp;"];"&amp;
" end;"</f>
        <v>with OpCodes[$77] do begin code:= @op_MOV_MA; inst:= 'MOV'; fmt:= 'MOV'+#9+'M,A'; group:= Egroup.data; mode:= Emode.ind_reg; len:= 1; cycle:= [2]; state:= [7]; end;</v>
      </c>
    </row>
    <row r="122" spans="1:4" ht="67.5" x14ac:dyDescent="0.25">
      <c r="A122" s="19" t="str">
        <f>"op"&amp;"_"&amp;OpCode!B122&amp;ConvertFormat2(OpCode!C122)</f>
        <v>op_MOV_AB</v>
      </c>
      <c r="B122" s="20" t="str">
        <f t="shared" si="1"/>
        <v>procedure TCPU_8085.op_MOV_AB;</v>
      </c>
      <c r="C122" s="21" t="str">
        <f>$B122&amp;CHAR(10)&amp;ConvertCode(OpCode!K122,OpCode!I122,OpCode!G122,OpCode!H122)</f>
        <v>procedure TCPU_8085.op_MOV_AB;
begin
  A:= (B and $FF);
  inc(cycles);
  inc(states, 4);
end;</v>
      </c>
      <c r="D122" s="21" t="str">
        <f>"with OpCodes[$"&amp;OpCode!A122&amp;"] do begin" &amp;
" code:= @"&amp;A122&amp;";"&amp;
" inst:= '"&amp;OpCode!B122&amp;"';"&amp;
" fmt:= '"&amp;OpCode!B122&amp;IF(OpCode!C122&lt;&gt;"","'+#9+'"&amp;convertFormat(OpCode!C122),"")&amp;"'"&amp;";"&amp;
" group:= Egroup."&amp;OpCode!D122&amp;";"&amp;
" mode:= Emode."&amp;OpCode!E122&amp;";"&amp;
" len:= "&amp;OpCode!F122&amp;";"&amp;
" cycle:= ["&amp;SUBSTITUTE(OpCode!G122,"|",",")&amp;"];"&amp;
" state:= ["&amp;SUBSTITUTE(OpCode!H122,"|",",")&amp;"];"&amp;
" end;"</f>
        <v>with OpCodes[$78] do begin code:= @op_MOV_AB; inst:= 'MOV'; fmt:= 'MOV'+#9+'A,B'; group:= Egroup.data; mode:= Emode.reg; len:= 1; cycle:= [1]; state:= [4]; end;</v>
      </c>
    </row>
    <row r="123" spans="1:4" ht="67.5" x14ac:dyDescent="0.25">
      <c r="A123" s="19" t="str">
        <f>"op"&amp;"_"&amp;OpCode!B123&amp;ConvertFormat2(OpCode!C123)</f>
        <v>op_MOV_AC</v>
      </c>
      <c r="B123" s="20" t="str">
        <f t="shared" si="1"/>
        <v>procedure TCPU_8085.op_MOV_AC;</v>
      </c>
      <c r="C123" s="21" t="str">
        <f>$B123&amp;CHAR(10)&amp;ConvertCode(OpCode!K123,OpCode!I123,OpCode!G123,OpCode!H123)</f>
        <v>procedure TCPU_8085.op_MOV_AC;
begin
  A:= (C and $FF);
  inc(cycles);
  inc(states, 4);
end;</v>
      </c>
      <c r="D123" s="21" t="str">
        <f>"with OpCodes[$"&amp;OpCode!A123&amp;"] do begin" &amp;
" code:= @"&amp;A123&amp;";"&amp;
" inst:= '"&amp;OpCode!B123&amp;"';"&amp;
" fmt:= '"&amp;OpCode!B123&amp;IF(OpCode!C123&lt;&gt;"","'+#9+'"&amp;convertFormat(OpCode!C123),"")&amp;"'"&amp;";"&amp;
" group:= Egroup."&amp;OpCode!D123&amp;";"&amp;
" mode:= Emode."&amp;OpCode!E123&amp;";"&amp;
" len:= "&amp;OpCode!F123&amp;";"&amp;
" cycle:= ["&amp;SUBSTITUTE(OpCode!G123,"|",",")&amp;"];"&amp;
" state:= ["&amp;SUBSTITUTE(OpCode!H123,"|",",")&amp;"];"&amp;
" end;"</f>
        <v>with OpCodes[$79] do begin code:= @op_MOV_AC; inst:= 'MOV'; fmt:= 'MOV'+#9+'A,C'; group:= Egroup.data; mode:= Emode.reg; len:= 1; cycle:= [1]; state:= [4]; end;</v>
      </c>
    </row>
    <row r="124" spans="1:4" ht="67.5" x14ac:dyDescent="0.25">
      <c r="A124" s="19" t="str">
        <f>"op"&amp;"_"&amp;OpCode!B124&amp;ConvertFormat2(OpCode!C124)</f>
        <v>op_MOV_AD</v>
      </c>
      <c r="B124" s="20" t="str">
        <f t="shared" si="1"/>
        <v>procedure TCPU_8085.op_MOV_AD;</v>
      </c>
      <c r="C124" s="21" t="str">
        <f>$B124&amp;CHAR(10)&amp;ConvertCode(OpCode!K124,OpCode!I124,OpCode!G124,OpCode!H124)</f>
        <v>procedure TCPU_8085.op_MOV_AD;
begin
  A:= (D and $FF);
  inc(cycles);
  inc(states, 4);
end;</v>
      </c>
      <c r="D124" s="21" t="str">
        <f>"with OpCodes[$"&amp;OpCode!A124&amp;"] do begin" &amp;
" code:= @"&amp;A124&amp;";"&amp;
" inst:= '"&amp;OpCode!B124&amp;"';"&amp;
" fmt:= '"&amp;OpCode!B124&amp;IF(OpCode!C124&lt;&gt;"","'+#9+'"&amp;convertFormat(OpCode!C124),"")&amp;"'"&amp;";"&amp;
" group:= Egroup."&amp;OpCode!D124&amp;";"&amp;
" mode:= Emode."&amp;OpCode!E124&amp;";"&amp;
" len:= "&amp;OpCode!F124&amp;";"&amp;
" cycle:= ["&amp;SUBSTITUTE(OpCode!G124,"|",",")&amp;"];"&amp;
" state:= ["&amp;SUBSTITUTE(OpCode!H124,"|",",")&amp;"];"&amp;
" end;"</f>
        <v>with OpCodes[$7A] do begin code:= @op_MOV_AD; inst:= 'MOV'; fmt:= 'MOV'+#9+'A,D'; group:= Egroup.data; mode:= Emode.reg; len:= 1; cycle:= [1]; state:= [4]; end;</v>
      </c>
    </row>
    <row r="125" spans="1:4" ht="67.5" x14ac:dyDescent="0.25">
      <c r="A125" s="19" t="str">
        <f>"op"&amp;"_"&amp;OpCode!B125&amp;ConvertFormat2(OpCode!C125)</f>
        <v>op_MOV_AE</v>
      </c>
      <c r="B125" s="20" t="str">
        <f t="shared" si="1"/>
        <v>procedure TCPU_8085.op_MOV_AE;</v>
      </c>
      <c r="C125" s="21" t="str">
        <f>$B125&amp;CHAR(10)&amp;ConvertCode(OpCode!K125,OpCode!I125,OpCode!G125,OpCode!H125)</f>
        <v>procedure TCPU_8085.op_MOV_AE;
begin
  A:= (E and $FF);
  inc(cycles);
  inc(states, 4);
end;</v>
      </c>
      <c r="D125" s="21" t="str">
        <f>"with OpCodes[$"&amp;OpCode!A125&amp;"] do begin" &amp;
" code:= @"&amp;A125&amp;";"&amp;
" inst:= '"&amp;OpCode!B125&amp;"';"&amp;
" fmt:= '"&amp;OpCode!B125&amp;IF(OpCode!C125&lt;&gt;"","'+#9+'"&amp;convertFormat(OpCode!C125),"")&amp;"'"&amp;";"&amp;
" group:= Egroup."&amp;OpCode!D125&amp;";"&amp;
" mode:= Emode."&amp;OpCode!E125&amp;";"&amp;
" len:= "&amp;OpCode!F125&amp;";"&amp;
" cycle:= ["&amp;SUBSTITUTE(OpCode!G125,"|",",")&amp;"];"&amp;
" state:= ["&amp;SUBSTITUTE(OpCode!H125,"|",",")&amp;"];"&amp;
" end;"</f>
        <v>with OpCodes[$7B] do begin code:= @op_MOV_AE; inst:= 'MOV'; fmt:= 'MOV'+#9+'A,E'; group:= Egroup.data; mode:= Emode.reg; len:= 1; cycle:= [1]; state:= [4]; end;</v>
      </c>
    </row>
    <row r="126" spans="1:4" ht="67.5" x14ac:dyDescent="0.25">
      <c r="A126" s="19" t="str">
        <f>"op"&amp;"_"&amp;OpCode!B126&amp;ConvertFormat2(OpCode!C126)</f>
        <v>op_MOV_AH</v>
      </c>
      <c r="B126" s="20" t="str">
        <f t="shared" si="1"/>
        <v>procedure TCPU_8085.op_MOV_AH;</v>
      </c>
      <c r="C126" s="21" t="str">
        <f>$B126&amp;CHAR(10)&amp;ConvertCode(OpCode!K126,OpCode!I126,OpCode!G126,OpCode!H126)</f>
        <v>procedure TCPU_8085.op_MOV_AH;
begin
  A:= (H and $FF);
  inc(cycles);
  inc(states, 4);
end;</v>
      </c>
      <c r="D126" s="21" t="str">
        <f>"with OpCodes[$"&amp;OpCode!A126&amp;"] do begin" &amp;
" code:= @"&amp;A126&amp;";"&amp;
" inst:= '"&amp;OpCode!B126&amp;"';"&amp;
" fmt:= '"&amp;OpCode!B126&amp;IF(OpCode!C126&lt;&gt;"","'+#9+'"&amp;convertFormat(OpCode!C126),"")&amp;"'"&amp;";"&amp;
" group:= Egroup."&amp;OpCode!D126&amp;";"&amp;
" mode:= Emode."&amp;OpCode!E126&amp;";"&amp;
" len:= "&amp;OpCode!F126&amp;";"&amp;
" cycle:= ["&amp;SUBSTITUTE(OpCode!G126,"|",",")&amp;"];"&amp;
" state:= ["&amp;SUBSTITUTE(OpCode!H126,"|",",")&amp;"];"&amp;
" end;"</f>
        <v>with OpCodes[$7C] do begin code:= @op_MOV_AH; inst:= 'MOV'; fmt:= 'MOV'+#9+'A,H'; group:= Egroup.data; mode:= Emode.reg; len:= 1; cycle:= [1]; state:= [4]; end;</v>
      </c>
    </row>
    <row r="127" spans="1:4" ht="67.5" x14ac:dyDescent="0.25">
      <c r="A127" s="19" t="str">
        <f>"op"&amp;"_"&amp;OpCode!B127&amp;ConvertFormat2(OpCode!C127)</f>
        <v>op_MOV_AL</v>
      </c>
      <c r="B127" s="20" t="str">
        <f t="shared" si="1"/>
        <v>procedure TCPU_8085.op_MOV_AL;</v>
      </c>
      <c r="C127" s="21" t="str">
        <f>$B127&amp;CHAR(10)&amp;ConvertCode(OpCode!K127,OpCode!I127,OpCode!G127,OpCode!H127)</f>
        <v>procedure TCPU_8085.op_MOV_AL;
begin
  A:= (L and $FF);
  inc(cycles);
  inc(states, 4);
end;</v>
      </c>
      <c r="D127" s="21" t="str">
        <f>"with OpCodes[$"&amp;OpCode!A127&amp;"] do begin" &amp;
" code:= @"&amp;A127&amp;";"&amp;
" inst:= '"&amp;OpCode!B127&amp;"';"&amp;
" fmt:= '"&amp;OpCode!B127&amp;IF(OpCode!C127&lt;&gt;"","'+#9+'"&amp;convertFormat(OpCode!C127),"")&amp;"'"&amp;";"&amp;
" group:= Egroup."&amp;OpCode!D127&amp;";"&amp;
" mode:= Emode."&amp;OpCode!E127&amp;";"&amp;
" len:= "&amp;OpCode!F127&amp;";"&amp;
" cycle:= ["&amp;SUBSTITUTE(OpCode!G127,"|",",")&amp;"];"&amp;
" state:= ["&amp;SUBSTITUTE(OpCode!H127,"|",",")&amp;"];"&amp;
" end;"</f>
        <v>with OpCodes[$7D] do begin code:= @op_MOV_AL; inst:= 'MOV'; fmt:= 'MOV'+#9+'A,L'; group:= Egroup.data; mode:= Emode.reg; len:= 1; cycle:= [1]; state:= [4]; end;</v>
      </c>
    </row>
    <row r="128" spans="1:4" ht="101.25" x14ac:dyDescent="0.25">
      <c r="A128" s="19" t="str">
        <f>"op"&amp;"_"&amp;OpCode!B128&amp;ConvertFormat2(OpCode!C128)</f>
        <v>op_MOV_AM</v>
      </c>
      <c r="B128" s="20" t="str">
        <f t="shared" si="1"/>
        <v>procedure TCPU_8085.op_MOV_AM;</v>
      </c>
      <c r="C128" s="21" t="str">
        <f>$B128&amp;CHAR(10)&amp;ConvertCode(OpCode!K128,OpCode!I128,OpCode!G128,OpCode!H128)</f>
        <v>procedure TCPU_8085.op_MOV_AM;
var 
  HL: iSize16;
begin
  HL:= H shl 8 + L;
  A:= ReadMem(HL);
  inc(cycles, 2);
  inc(states, 7);
end;</v>
      </c>
      <c r="D128" s="21" t="str">
        <f>"with OpCodes[$"&amp;OpCode!A128&amp;"] do begin" &amp;
" code:= @"&amp;A128&amp;";"&amp;
" inst:= '"&amp;OpCode!B128&amp;"';"&amp;
" fmt:= '"&amp;OpCode!B128&amp;IF(OpCode!C128&lt;&gt;"","'+#9+'"&amp;convertFormat(OpCode!C128),"")&amp;"'"&amp;";"&amp;
" group:= Egroup."&amp;OpCode!D128&amp;";"&amp;
" mode:= Emode."&amp;OpCode!E128&amp;";"&amp;
" len:= "&amp;OpCode!F128&amp;";"&amp;
" cycle:= ["&amp;SUBSTITUTE(OpCode!G128,"|",",")&amp;"];"&amp;
" state:= ["&amp;SUBSTITUTE(OpCode!H128,"|",",")&amp;"];"&amp;
" end;"</f>
        <v>with OpCodes[$7E] do begin code:= @op_MOV_AM; inst:= 'MOV'; fmt:= 'MOV'+#9+'A,M'; group:= Egroup.data; mode:= Emode.ind_reg; len:= 1; cycle:= [2]; state:= [7]; end;</v>
      </c>
    </row>
    <row r="129" spans="1:4" ht="67.5" x14ac:dyDescent="0.25">
      <c r="A129" s="19" t="str">
        <f>"op"&amp;"_"&amp;OpCode!B129&amp;ConvertFormat2(OpCode!C129)</f>
        <v>op_MOV_AA</v>
      </c>
      <c r="B129" s="20" t="str">
        <f t="shared" si="1"/>
        <v>procedure TCPU_8085.op_MOV_AA;</v>
      </c>
      <c r="C129" s="21" t="str">
        <f>$B129&amp;CHAR(10)&amp;ConvertCode(OpCode!K129,OpCode!I129,OpCode!G129,OpCode!H129)</f>
        <v>procedure TCPU_8085.op_MOV_AA;
begin
  A:= (A and $FF);
  inc(cycles);
  inc(states, 4);
end;</v>
      </c>
      <c r="D129" s="21" t="str">
        <f>"with OpCodes[$"&amp;OpCode!A129&amp;"] do begin" &amp;
" code:= @"&amp;A129&amp;";"&amp;
" inst:= '"&amp;OpCode!B129&amp;"';"&amp;
" fmt:= '"&amp;OpCode!B129&amp;IF(OpCode!C129&lt;&gt;"","'+#9+'"&amp;convertFormat(OpCode!C129),"")&amp;"'"&amp;";"&amp;
" group:= Egroup."&amp;OpCode!D129&amp;";"&amp;
" mode:= Emode."&amp;OpCode!E129&amp;";"&amp;
" len:= "&amp;OpCode!F129&amp;";"&amp;
" cycle:= ["&amp;SUBSTITUTE(OpCode!G129,"|",",")&amp;"];"&amp;
" state:= ["&amp;SUBSTITUTE(OpCode!H129,"|",",")&amp;"];"&amp;
" end;"</f>
        <v>with OpCodes[$7F] do begin code:= @op_MOV_AA; inst:= 'MOV'; fmt:= 'MOV'+#9+'A,A'; group:= Egroup.data; mode:= Emode.reg; len:= 1; cycle:= [1]; state:= [4]; end;</v>
      </c>
    </row>
    <row r="130" spans="1:4" ht="146.25" x14ac:dyDescent="0.25">
      <c r="A130" s="19" t="str">
        <f>"op"&amp;"_"&amp;OpCode!B130&amp;ConvertFormat2(OpCode!C130)</f>
        <v>op_ADD_B</v>
      </c>
      <c r="B130" s="20" t="str">
        <f t="shared" si="1"/>
        <v>procedure TCPU_8085.op_ADD_B;</v>
      </c>
      <c r="C130" s="21" t="str">
        <f>$B130&amp;CHAR(10)&amp;ConvertCode(OpCode!K130,OpCode!I130,OpCode!G130,OpCode!H130)</f>
        <v>procedure TCPU_8085.op_ADD_B;
begin
  A:= ((A + B)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0" s="21" t="str">
        <f>"with OpCodes[$"&amp;OpCode!A130&amp;"] do begin" &amp;
" code:= @"&amp;A130&amp;";"&amp;
" inst:= '"&amp;OpCode!B130&amp;"';"&amp;
" fmt:= '"&amp;OpCode!B130&amp;IF(OpCode!C130&lt;&gt;"","'+#9+'"&amp;convertFormat(OpCode!C130),"")&amp;"'"&amp;";"&amp;
" group:= Egroup."&amp;OpCode!D130&amp;";"&amp;
" mode:= Emode."&amp;OpCode!E130&amp;";"&amp;
" len:= "&amp;OpCode!F130&amp;";"&amp;
" cycle:= ["&amp;SUBSTITUTE(OpCode!G130,"|",",")&amp;"];"&amp;
" state:= ["&amp;SUBSTITUTE(OpCode!H130,"|",",")&amp;"];"&amp;
" end;"</f>
        <v>with OpCodes[$80] do begin code:= @op_ADD_B; inst:= 'ADD'; fmt:= 'ADD'+#9+'B'; group:= Egroup.arith; mode:= Emode.reg; len:= 1; cycle:= [1]; state:= [4]; end;</v>
      </c>
    </row>
    <row r="131" spans="1:4" ht="146.25" x14ac:dyDescent="0.25">
      <c r="A131" s="19" t="str">
        <f>"op"&amp;"_"&amp;OpCode!B131&amp;ConvertFormat2(OpCode!C131)</f>
        <v>op_ADD_C</v>
      </c>
      <c r="B131" s="20" t="str">
        <f t="shared" ref="B131:B194" si="2">"procedure TCPU_8085."&amp;$A131&amp;";"</f>
        <v>procedure TCPU_8085.op_ADD_C;</v>
      </c>
      <c r="C131" s="21" t="str">
        <f>$B131&amp;CHAR(10)&amp;ConvertCode(OpCode!K131,OpCode!I131,OpCode!G131,OpCode!H131)</f>
        <v>procedure TCPU_8085.op_ADD_C;
begin
  A:= ((A + C)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1" s="21" t="str">
        <f>"with OpCodes[$"&amp;OpCode!A131&amp;"] do begin" &amp;
" code:= @"&amp;A131&amp;";"&amp;
" inst:= '"&amp;OpCode!B131&amp;"';"&amp;
" fmt:= '"&amp;OpCode!B131&amp;IF(OpCode!C131&lt;&gt;"","'+#9+'"&amp;convertFormat(OpCode!C131),"")&amp;"'"&amp;";"&amp;
" group:= Egroup."&amp;OpCode!D131&amp;";"&amp;
" mode:= Emode."&amp;OpCode!E131&amp;";"&amp;
" len:= "&amp;OpCode!F131&amp;";"&amp;
" cycle:= ["&amp;SUBSTITUTE(OpCode!G131,"|",",")&amp;"];"&amp;
" state:= ["&amp;SUBSTITUTE(OpCode!H131,"|",",")&amp;"];"&amp;
" end;"</f>
        <v>with OpCodes[$81] do begin code:= @op_ADD_C; inst:= 'ADD'; fmt:= 'ADD'+#9+'C'; group:= Egroup.arith; mode:= Emode.reg; len:= 1; cycle:= [1]; state:= [4]; end;</v>
      </c>
    </row>
    <row r="132" spans="1:4" ht="146.25" x14ac:dyDescent="0.25">
      <c r="A132" s="19" t="str">
        <f>"op"&amp;"_"&amp;OpCode!B132&amp;ConvertFormat2(OpCode!C132)</f>
        <v>op_ADD_D</v>
      </c>
      <c r="B132" s="20" t="str">
        <f t="shared" si="2"/>
        <v>procedure TCPU_8085.op_ADD_D;</v>
      </c>
      <c r="C132" s="21" t="str">
        <f>$B132&amp;CHAR(10)&amp;ConvertCode(OpCode!K132,OpCode!I132,OpCode!G132,OpCode!H132)</f>
        <v>procedure TCPU_8085.op_ADD_D;
begin
  A:= ((A + D)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2" s="21" t="str">
        <f>"with OpCodes[$"&amp;OpCode!A132&amp;"] do begin" &amp;
" code:= @"&amp;A132&amp;";"&amp;
" inst:= '"&amp;OpCode!B132&amp;"';"&amp;
" fmt:= '"&amp;OpCode!B132&amp;IF(OpCode!C132&lt;&gt;"","'+#9+'"&amp;convertFormat(OpCode!C132),"")&amp;"'"&amp;";"&amp;
" group:= Egroup."&amp;OpCode!D132&amp;";"&amp;
" mode:= Emode."&amp;OpCode!E132&amp;";"&amp;
" len:= "&amp;OpCode!F132&amp;";"&amp;
" cycle:= ["&amp;SUBSTITUTE(OpCode!G132,"|",",")&amp;"];"&amp;
" state:= ["&amp;SUBSTITUTE(OpCode!H132,"|",",")&amp;"];"&amp;
" end;"</f>
        <v>with OpCodes[$82] do begin code:= @op_ADD_D; inst:= 'ADD'; fmt:= 'ADD'+#9+'D'; group:= Egroup.arith; mode:= Emode.reg; len:= 1; cycle:= [1]; state:= [4]; end;</v>
      </c>
    </row>
    <row r="133" spans="1:4" ht="146.25" x14ac:dyDescent="0.25">
      <c r="A133" s="19" t="str">
        <f>"op"&amp;"_"&amp;OpCode!B133&amp;ConvertFormat2(OpCode!C133)</f>
        <v>op_ADD_E</v>
      </c>
      <c r="B133" s="20" t="str">
        <f t="shared" si="2"/>
        <v>procedure TCPU_8085.op_ADD_E;</v>
      </c>
      <c r="C133" s="21" t="str">
        <f>$B133&amp;CHAR(10)&amp;ConvertCode(OpCode!K133,OpCode!I133,OpCode!G133,OpCode!H133)</f>
        <v>procedure TCPU_8085.op_ADD_E;
begin
  A:= ((A + E)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3" s="21" t="str">
        <f>"with OpCodes[$"&amp;OpCode!A133&amp;"] do begin" &amp;
" code:= @"&amp;A133&amp;";"&amp;
" inst:= '"&amp;OpCode!B133&amp;"';"&amp;
" fmt:= '"&amp;OpCode!B133&amp;IF(OpCode!C133&lt;&gt;"","'+#9+'"&amp;convertFormat(OpCode!C133),"")&amp;"'"&amp;";"&amp;
" group:= Egroup."&amp;OpCode!D133&amp;";"&amp;
" mode:= Emode."&amp;OpCode!E133&amp;";"&amp;
" len:= "&amp;OpCode!F133&amp;";"&amp;
" cycle:= ["&amp;SUBSTITUTE(OpCode!G133,"|",",")&amp;"];"&amp;
" state:= ["&amp;SUBSTITUTE(OpCode!H133,"|",",")&amp;"];"&amp;
" end;"</f>
        <v>with OpCodes[$83] do begin code:= @op_ADD_E; inst:= 'ADD'; fmt:= 'ADD'+#9+'E'; group:= Egroup.arith; mode:= Emode.reg; len:= 1; cycle:= [1]; state:= [4]; end;</v>
      </c>
    </row>
    <row r="134" spans="1:4" ht="146.25" x14ac:dyDescent="0.25">
      <c r="A134" s="19" t="str">
        <f>"op"&amp;"_"&amp;OpCode!B134&amp;ConvertFormat2(OpCode!C134)</f>
        <v>op_ADD_H</v>
      </c>
      <c r="B134" s="20" t="str">
        <f t="shared" si="2"/>
        <v>procedure TCPU_8085.op_ADD_H;</v>
      </c>
      <c r="C134" s="21" t="str">
        <f>$B134&amp;CHAR(10)&amp;ConvertCode(OpCode!K134,OpCode!I134,OpCode!G134,OpCode!H134)</f>
        <v>procedure TCPU_8085.op_ADD_H;
begin
  A:= ((A + H)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4" s="21" t="str">
        <f>"with OpCodes[$"&amp;OpCode!A134&amp;"] do begin" &amp;
" code:= @"&amp;A134&amp;";"&amp;
" inst:= '"&amp;OpCode!B134&amp;"';"&amp;
" fmt:= '"&amp;OpCode!B134&amp;IF(OpCode!C134&lt;&gt;"","'+#9+'"&amp;convertFormat(OpCode!C134),"")&amp;"'"&amp;";"&amp;
" group:= Egroup."&amp;OpCode!D134&amp;";"&amp;
" mode:= Emode."&amp;OpCode!E134&amp;";"&amp;
" len:= "&amp;OpCode!F134&amp;";"&amp;
" cycle:= ["&amp;SUBSTITUTE(OpCode!G134,"|",",")&amp;"];"&amp;
" state:= ["&amp;SUBSTITUTE(OpCode!H134,"|",",")&amp;"];"&amp;
" end;"</f>
        <v>with OpCodes[$84] do begin code:= @op_ADD_H; inst:= 'ADD'; fmt:= 'ADD'+#9+'H'; group:= Egroup.arith; mode:= Emode.reg; len:= 1; cycle:= [1]; state:= [4]; end;</v>
      </c>
    </row>
    <row r="135" spans="1:4" ht="146.25" x14ac:dyDescent="0.25">
      <c r="A135" s="19" t="str">
        <f>"op"&amp;"_"&amp;OpCode!B135&amp;ConvertFormat2(OpCode!C135)</f>
        <v>op_ADD_L</v>
      </c>
      <c r="B135" s="20" t="str">
        <f t="shared" si="2"/>
        <v>procedure TCPU_8085.op_ADD_L;</v>
      </c>
      <c r="C135" s="21" t="str">
        <f>$B135&amp;CHAR(10)&amp;ConvertCode(OpCode!K135,OpCode!I135,OpCode!G135,OpCode!H135)</f>
        <v>procedure TCPU_8085.op_ADD_L;
begin
  A:= ((A + L)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5" s="21" t="str">
        <f>"with OpCodes[$"&amp;OpCode!A135&amp;"] do begin" &amp;
" code:= @"&amp;A135&amp;";"&amp;
" inst:= '"&amp;OpCode!B135&amp;"';"&amp;
" fmt:= '"&amp;OpCode!B135&amp;IF(OpCode!C135&lt;&gt;"","'+#9+'"&amp;convertFormat(OpCode!C135),"")&amp;"'"&amp;";"&amp;
" group:= Egroup."&amp;OpCode!D135&amp;";"&amp;
" mode:= Emode."&amp;OpCode!E135&amp;";"&amp;
" len:= "&amp;OpCode!F135&amp;";"&amp;
" cycle:= ["&amp;SUBSTITUTE(OpCode!G135,"|",",")&amp;"];"&amp;
" state:= ["&amp;SUBSTITUTE(OpCode!H135,"|",",")&amp;"];"&amp;
" end;"</f>
        <v>with OpCodes[$85] do begin code:= @op_ADD_L; inst:= 'ADD'; fmt:= 'ADD'+#9+'L'; group:= Egroup.arith; mode:= Emode.reg; len:= 1; cycle:= [1]; state:= [4]; end;</v>
      </c>
    </row>
    <row r="136" spans="1:4" ht="180" x14ac:dyDescent="0.25">
      <c r="A136" s="19" t="str">
        <f>"op"&amp;"_"&amp;OpCode!B136&amp;ConvertFormat2(OpCode!C136)</f>
        <v>op_ADD_M</v>
      </c>
      <c r="B136" s="20" t="str">
        <f t="shared" si="2"/>
        <v>procedure TCPU_8085.op_ADD_M;</v>
      </c>
      <c r="C136" s="21" t="str">
        <f>$B136&amp;CHAR(10)&amp;ConvertCode(OpCode!K136,OpCode!I136,OpCode!G136,OpCode!H136)</f>
        <v>procedure TCPU_8085.op_ADD_M;
var 
  HL: iSize16;
begin
  HL:= H shl 8 + L;
  A:= A + ReadMem(HL);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136" s="21" t="str">
        <f>"with OpCodes[$"&amp;OpCode!A136&amp;"] do begin" &amp;
" code:= @"&amp;A136&amp;";"&amp;
" inst:= '"&amp;OpCode!B136&amp;"';"&amp;
" fmt:= '"&amp;OpCode!B136&amp;IF(OpCode!C136&lt;&gt;"","'+#9+'"&amp;convertFormat(OpCode!C136),"")&amp;"'"&amp;";"&amp;
" group:= Egroup."&amp;OpCode!D136&amp;";"&amp;
" mode:= Emode."&amp;OpCode!E136&amp;";"&amp;
" len:= "&amp;OpCode!F136&amp;";"&amp;
" cycle:= ["&amp;SUBSTITUTE(OpCode!G136,"|",",")&amp;"];"&amp;
" state:= ["&amp;SUBSTITUTE(OpCode!H136,"|",",")&amp;"];"&amp;
" end;"</f>
        <v>with OpCodes[$86] do begin code:= @op_ADD_M; inst:= 'ADD'; fmt:= 'ADD'+#9+'M'; group:= Egroup.arith; mode:= Emode.ind_reg; len:= 1; cycle:= [2]; state:= [7]; end;</v>
      </c>
    </row>
    <row r="137" spans="1:4" ht="146.25" x14ac:dyDescent="0.25">
      <c r="A137" s="19" t="str">
        <f>"op"&amp;"_"&amp;OpCode!B137&amp;ConvertFormat2(OpCode!C137)</f>
        <v>op_ADD_A</v>
      </c>
      <c r="B137" s="20" t="str">
        <f t="shared" si="2"/>
        <v>procedure TCPU_8085.op_ADD_A;</v>
      </c>
      <c r="C137" s="21" t="str">
        <f>$B137&amp;CHAR(10)&amp;ConvertCode(OpCode!K137,OpCode!I137,OpCode!G137,OpCode!H137)</f>
        <v>procedure TCPU_8085.op_ADD_A;
begin
  A:= ((A + A)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7" s="21" t="str">
        <f>"with OpCodes[$"&amp;OpCode!A137&amp;"] do begin" &amp;
" code:= @"&amp;A137&amp;";"&amp;
" inst:= '"&amp;OpCode!B137&amp;"';"&amp;
" fmt:= '"&amp;OpCode!B137&amp;IF(OpCode!C137&lt;&gt;"","'+#9+'"&amp;convertFormat(OpCode!C137),"")&amp;"'"&amp;";"&amp;
" group:= Egroup."&amp;OpCode!D137&amp;";"&amp;
" mode:= Emode."&amp;OpCode!E137&amp;";"&amp;
" len:= "&amp;OpCode!F137&amp;";"&amp;
" cycle:= ["&amp;SUBSTITUTE(OpCode!G137,"|",",")&amp;"];"&amp;
" state:= ["&amp;SUBSTITUTE(OpCode!H137,"|",",")&amp;"];"&amp;
" end;"</f>
        <v>with OpCodes[$87] do begin code:= @op_ADD_A; inst:= 'ADD'; fmt:= 'ADD'+#9+'A'; group:= Egroup.arith; mode:= Emode.reg; len:= 1; cycle:= [1]; state:= [4]; end;</v>
      </c>
    </row>
    <row r="138" spans="1:4" ht="146.25" x14ac:dyDescent="0.25">
      <c r="A138" s="19" t="str">
        <f>"op"&amp;"_"&amp;OpCode!B138&amp;ConvertFormat2(OpCode!C138)</f>
        <v>op_ADC_B</v>
      </c>
      <c r="B138" s="20" t="str">
        <f t="shared" si="2"/>
        <v>procedure TCPU_8085.op_ADC_B;</v>
      </c>
      <c r="C138" s="21" t="str">
        <f>$B138&amp;CHAR(10)&amp;ConvertCode(OpCode!K138,OpCode!I138,OpCode!G138,OpCode!H138)</f>
        <v>procedure TCPU_8085.op_ADC_B;
begin
  A:= ((A + B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8" s="21" t="str">
        <f>"with OpCodes[$"&amp;OpCode!A138&amp;"] do begin" &amp;
" code:= @"&amp;A138&amp;";"&amp;
" inst:= '"&amp;OpCode!B138&amp;"';"&amp;
" fmt:= '"&amp;OpCode!B138&amp;IF(OpCode!C138&lt;&gt;"","'+#9+'"&amp;convertFormat(OpCode!C138),"")&amp;"'"&amp;";"&amp;
" group:= Egroup."&amp;OpCode!D138&amp;";"&amp;
" mode:= Emode."&amp;OpCode!E138&amp;";"&amp;
" len:= "&amp;OpCode!F138&amp;";"&amp;
" cycle:= ["&amp;SUBSTITUTE(OpCode!G138,"|",",")&amp;"];"&amp;
" state:= ["&amp;SUBSTITUTE(OpCode!H138,"|",",")&amp;"];"&amp;
" end;"</f>
        <v>with OpCodes[$88] do begin code:= @op_ADC_B; inst:= 'ADC'; fmt:= 'ADC'+#9+'B'; group:= Egroup.arith; mode:= Emode.reg; len:= 1; cycle:= [1]; state:= [4]; end;</v>
      </c>
    </row>
    <row r="139" spans="1:4" ht="146.25" x14ac:dyDescent="0.25">
      <c r="A139" s="19" t="str">
        <f>"op"&amp;"_"&amp;OpCode!B139&amp;ConvertFormat2(OpCode!C139)</f>
        <v>op_ADC_C</v>
      </c>
      <c r="B139" s="20" t="str">
        <f t="shared" si="2"/>
        <v>procedure TCPU_8085.op_ADC_C;</v>
      </c>
      <c r="C139" s="21" t="str">
        <f>$B139&amp;CHAR(10)&amp;ConvertCode(OpCode!K139,OpCode!I139,OpCode!G139,OpCode!H139)</f>
        <v>procedure TCPU_8085.op_ADC_C;
begin
  A:= ((A + C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39" s="21" t="str">
        <f>"with OpCodes[$"&amp;OpCode!A139&amp;"] do begin" &amp;
" code:= @"&amp;A139&amp;";"&amp;
" inst:= '"&amp;OpCode!B139&amp;"';"&amp;
" fmt:= '"&amp;OpCode!B139&amp;IF(OpCode!C139&lt;&gt;"","'+#9+'"&amp;convertFormat(OpCode!C139),"")&amp;"'"&amp;";"&amp;
" group:= Egroup."&amp;OpCode!D139&amp;";"&amp;
" mode:= Emode."&amp;OpCode!E139&amp;";"&amp;
" len:= "&amp;OpCode!F139&amp;";"&amp;
" cycle:= ["&amp;SUBSTITUTE(OpCode!G139,"|",",")&amp;"];"&amp;
" state:= ["&amp;SUBSTITUTE(OpCode!H139,"|",",")&amp;"];"&amp;
" end;"</f>
        <v>with OpCodes[$89] do begin code:= @op_ADC_C; inst:= 'ADC'; fmt:= 'ADC'+#9+'C'; group:= Egroup.arith; mode:= Emode.reg; len:= 1; cycle:= [1]; state:= [4]; end;</v>
      </c>
    </row>
    <row r="140" spans="1:4" ht="146.25" x14ac:dyDescent="0.25">
      <c r="A140" s="19" t="str">
        <f>"op"&amp;"_"&amp;OpCode!B140&amp;ConvertFormat2(OpCode!C140)</f>
        <v>op_ADC_D</v>
      </c>
      <c r="B140" s="20" t="str">
        <f t="shared" si="2"/>
        <v>procedure TCPU_8085.op_ADC_D;</v>
      </c>
      <c r="C140" s="21" t="str">
        <f>$B140&amp;CHAR(10)&amp;ConvertCode(OpCode!K140,OpCode!I140,OpCode!G140,OpCode!H140)</f>
        <v>procedure TCPU_8085.op_ADC_D;
begin
  A:= ((A + D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0" s="21" t="str">
        <f>"with OpCodes[$"&amp;OpCode!A140&amp;"] do begin" &amp;
" code:= @"&amp;A140&amp;";"&amp;
" inst:= '"&amp;OpCode!B140&amp;"';"&amp;
" fmt:= '"&amp;OpCode!B140&amp;IF(OpCode!C140&lt;&gt;"","'+#9+'"&amp;convertFormat(OpCode!C140),"")&amp;"'"&amp;";"&amp;
" group:= Egroup."&amp;OpCode!D140&amp;";"&amp;
" mode:= Emode."&amp;OpCode!E140&amp;";"&amp;
" len:= "&amp;OpCode!F140&amp;";"&amp;
" cycle:= ["&amp;SUBSTITUTE(OpCode!G140,"|",",")&amp;"];"&amp;
" state:= ["&amp;SUBSTITUTE(OpCode!H140,"|",",")&amp;"];"&amp;
" end;"</f>
        <v>with OpCodes[$8A] do begin code:= @op_ADC_D; inst:= 'ADC'; fmt:= 'ADC'+#9+'D'; group:= Egroup.arith; mode:= Emode.reg; len:= 1; cycle:= [1]; state:= [4]; end;</v>
      </c>
    </row>
    <row r="141" spans="1:4" ht="146.25" x14ac:dyDescent="0.25">
      <c r="A141" s="19" t="str">
        <f>"op"&amp;"_"&amp;OpCode!B141&amp;ConvertFormat2(OpCode!C141)</f>
        <v>op_ADC_E</v>
      </c>
      <c r="B141" s="20" t="str">
        <f t="shared" si="2"/>
        <v>procedure TCPU_8085.op_ADC_E;</v>
      </c>
      <c r="C141" s="21" t="str">
        <f>$B141&amp;CHAR(10)&amp;ConvertCode(OpCode!K141,OpCode!I141,OpCode!G141,OpCode!H141)</f>
        <v>procedure TCPU_8085.op_ADC_E;
begin
  A:= ((A + E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1" s="21" t="str">
        <f>"with OpCodes[$"&amp;OpCode!A141&amp;"] do begin" &amp;
" code:= @"&amp;A141&amp;";"&amp;
" inst:= '"&amp;OpCode!B141&amp;"';"&amp;
" fmt:= '"&amp;OpCode!B141&amp;IF(OpCode!C141&lt;&gt;"","'+#9+'"&amp;convertFormat(OpCode!C141),"")&amp;"'"&amp;";"&amp;
" group:= Egroup."&amp;OpCode!D141&amp;";"&amp;
" mode:= Emode."&amp;OpCode!E141&amp;";"&amp;
" len:= "&amp;OpCode!F141&amp;";"&amp;
" cycle:= ["&amp;SUBSTITUTE(OpCode!G141,"|",",")&amp;"];"&amp;
" state:= ["&amp;SUBSTITUTE(OpCode!H141,"|",",")&amp;"];"&amp;
" end;"</f>
        <v>with OpCodes[$8B] do begin code:= @op_ADC_E; inst:= 'ADC'; fmt:= 'ADC'+#9+'E'; group:= Egroup.arith; mode:= Emode.reg; len:= 1; cycle:= [1]; state:= [4]; end;</v>
      </c>
    </row>
    <row r="142" spans="1:4" ht="146.25" x14ac:dyDescent="0.25">
      <c r="A142" s="19" t="str">
        <f>"op"&amp;"_"&amp;OpCode!B142&amp;ConvertFormat2(OpCode!C142)</f>
        <v>op_ADC_H</v>
      </c>
      <c r="B142" s="20" t="str">
        <f t="shared" si="2"/>
        <v>procedure TCPU_8085.op_ADC_H;</v>
      </c>
      <c r="C142" s="21" t="str">
        <f>$B142&amp;CHAR(10)&amp;ConvertCode(OpCode!K142,OpCode!I142,OpCode!G142,OpCode!H142)</f>
        <v>procedure TCPU_8085.op_ADC_H;
begin
  A:= ((A + H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2" s="21" t="str">
        <f>"with OpCodes[$"&amp;OpCode!A142&amp;"] do begin" &amp;
" code:= @"&amp;A142&amp;";"&amp;
" inst:= '"&amp;OpCode!B142&amp;"';"&amp;
" fmt:= '"&amp;OpCode!B142&amp;IF(OpCode!C142&lt;&gt;"","'+#9+'"&amp;convertFormat(OpCode!C142),"")&amp;"'"&amp;";"&amp;
" group:= Egroup."&amp;OpCode!D142&amp;";"&amp;
" mode:= Emode."&amp;OpCode!E142&amp;";"&amp;
" len:= "&amp;OpCode!F142&amp;";"&amp;
" cycle:= ["&amp;SUBSTITUTE(OpCode!G142,"|",",")&amp;"];"&amp;
" state:= ["&amp;SUBSTITUTE(OpCode!H142,"|",",")&amp;"];"&amp;
" end;"</f>
        <v>with OpCodes[$8C] do begin code:= @op_ADC_H; inst:= 'ADC'; fmt:= 'ADC'+#9+'H'; group:= Egroup.arith; mode:= Emode.reg; len:= 1; cycle:= [1]; state:= [4]; end;</v>
      </c>
    </row>
    <row r="143" spans="1:4" ht="146.25" x14ac:dyDescent="0.25">
      <c r="A143" s="19" t="str">
        <f>"op"&amp;"_"&amp;OpCode!B143&amp;ConvertFormat2(OpCode!C143)</f>
        <v>op_ADC_L</v>
      </c>
      <c r="B143" s="20" t="str">
        <f t="shared" si="2"/>
        <v>procedure TCPU_8085.op_ADC_L;</v>
      </c>
      <c r="C143" s="21" t="str">
        <f>$B143&amp;CHAR(10)&amp;ConvertCode(OpCode!K143,OpCode!I143,OpCode!G143,OpCode!H143)</f>
        <v>procedure TCPU_8085.op_ADC_L;
begin
  A:= ((A + L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3" s="21" t="str">
        <f>"with OpCodes[$"&amp;OpCode!A143&amp;"] do begin" &amp;
" code:= @"&amp;A143&amp;";"&amp;
" inst:= '"&amp;OpCode!B143&amp;"';"&amp;
" fmt:= '"&amp;OpCode!B143&amp;IF(OpCode!C143&lt;&gt;"","'+#9+'"&amp;convertFormat(OpCode!C143),"")&amp;"'"&amp;";"&amp;
" group:= Egroup."&amp;OpCode!D143&amp;";"&amp;
" mode:= Emode."&amp;OpCode!E143&amp;";"&amp;
" len:= "&amp;OpCode!F143&amp;";"&amp;
" cycle:= ["&amp;SUBSTITUTE(OpCode!G143,"|",",")&amp;"];"&amp;
" state:= ["&amp;SUBSTITUTE(OpCode!H143,"|",",")&amp;"];"&amp;
" end;"</f>
        <v>with OpCodes[$8D] do begin code:= @op_ADC_L; inst:= 'ADC'; fmt:= 'ADC'+#9+'L'; group:= Egroup.arith; mode:= Emode.reg; len:= 1; cycle:= [1]; state:= [4]; end;</v>
      </c>
    </row>
    <row r="144" spans="1:4" ht="180" x14ac:dyDescent="0.25">
      <c r="A144" s="19" t="str">
        <f>"op"&amp;"_"&amp;OpCode!B144&amp;ConvertFormat2(OpCode!C144)</f>
        <v>op_ADC_M</v>
      </c>
      <c r="B144" s="20" t="str">
        <f t="shared" si="2"/>
        <v>procedure TCPU_8085.op_ADC_M;</v>
      </c>
      <c r="C144" s="21" t="str">
        <f>$B144&amp;CHAR(10)&amp;ConvertCode(OpCode!K144,OpCode!I144,OpCode!G144,OpCode!H144)</f>
        <v>procedure TCPU_8085.op_ADC_M;
var 
  HL: iSize16;
begin
  HL:= H shl 8 + L;
  A:= A + ReadMem(HL) + CY;
  F[EFlags.k]:= ?;
  F[EFlags.v]:= ?;
  F[EFlags.z]:= A = 0;
  F[EFlags.p]:= parity_of_bits[A];
  F[EFlags.s]:= (A and $80) = $80;
  F[EFlags.hc]:= (A and $0F) = $0;  
  F[EFlags.cy]:= (A and $100) = $100;  
  inc(cycles, 2);
  inc(states, 7);
end;</v>
      </c>
      <c r="D144" s="21" t="str">
        <f>"with OpCodes[$"&amp;OpCode!A144&amp;"] do begin" &amp;
" code:= @"&amp;A144&amp;";"&amp;
" inst:= '"&amp;OpCode!B144&amp;"';"&amp;
" fmt:= '"&amp;OpCode!B144&amp;IF(OpCode!C144&lt;&gt;"","'+#9+'"&amp;convertFormat(OpCode!C144),"")&amp;"'"&amp;";"&amp;
" group:= Egroup."&amp;OpCode!D144&amp;";"&amp;
" mode:= Emode."&amp;OpCode!E144&amp;";"&amp;
" len:= "&amp;OpCode!F144&amp;";"&amp;
" cycle:= ["&amp;SUBSTITUTE(OpCode!G144,"|",",")&amp;"];"&amp;
" state:= ["&amp;SUBSTITUTE(OpCode!H144,"|",",")&amp;"];"&amp;
" end;"</f>
        <v>with OpCodes[$8E] do begin code:= @op_ADC_M; inst:= 'ADC'; fmt:= 'ADC'+#9+'M'; group:= Egroup.arith; mode:= Emode.ind_reg; len:= 1; cycle:= [2]; state:= [7]; end;</v>
      </c>
    </row>
    <row r="145" spans="1:4" ht="146.25" x14ac:dyDescent="0.25">
      <c r="A145" s="19" t="str">
        <f>"op"&amp;"_"&amp;OpCode!B145&amp;ConvertFormat2(OpCode!C145)</f>
        <v>op_ADC_A</v>
      </c>
      <c r="B145" s="20" t="str">
        <f t="shared" si="2"/>
        <v>procedure TCPU_8085.op_ADC_A;</v>
      </c>
      <c r="C145" s="21" t="str">
        <f>$B145&amp;CHAR(10)&amp;ConvertCode(OpCode!K145,OpCode!I145,OpCode!G145,OpCode!H145)</f>
        <v>procedure TCPU_8085.op_ADC_A;
begin
  A:= ((A + A + CY) and $FF);
  F[EFlags.k]:= ?;
  F[EFlags.v]:= ?;
  F[EFlags.z]:= A = 0;
  F[EFlags.p]:= parity_of_bits[A];
  F[EFlags.s]:= (A and $80) = $80;
  F[EFlags.hc]:= (A and $0F) = $0;  
  F[EFlags.cy]:= (A and $100) = $100;  
  inc(cycles);
  inc(states, 4);
end;</v>
      </c>
      <c r="D145" s="21" t="str">
        <f>"with OpCodes[$"&amp;OpCode!A145&amp;"] do begin" &amp;
" code:= @"&amp;A145&amp;";"&amp;
" inst:= '"&amp;OpCode!B145&amp;"';"&amp;
" fmt:= '"&amp;OpCode!B145&amp;IF(OpCode!C145&lt;&gt;"","'+#9+'"&amp;convertFormat(OpCode!C145),"")&amp;"'"&amp;";"&amp;
" group:= Egroup."&amp;OpCode!D145&amp;";"&amp;
" mode:= Emode."&amp;OpCode!E145&amp;";"&amp;
" len:= "&amp;OpCode!F145&amp;";"&amp;
" cycle:= ["&amp;SUBSTITUTE(OpCode!G145,"|",",")&amp;"];"&amp;
" state:= ["&amp;SUBSTITUTE(OpCode!H145,"|",",")&amp;"];"&amp;
" end;"</f>
        <v>with OpCodes[$8F] do begin code:= @op_ADC_A; inst:= 'ADC'; fmt:= 'ADC'+#9+'A'; group:= Egroup.arith; mode:= Emode.reg; len:= 1; cycle:= [1]; state:= [4]; end;</v>
      </c>
    </row>
    <row r="146" spans="1:4" ht="146.25" x14ac:dyDescent="0.25">
      <c r="A146" s="19" t="str">
        <f>"op"&amp;"_"&amp;OpCode!B146&amp;ConvertFormat2(OpCode!C146)</f>
        <v>op_SUB_B</v>
      </c>
      <c r="B146" s="20" t="str">
        <f t="shared" si="2"/>
        <v>procedure TCPU_8085.op_SUB_B;</v>
      </c>
      <c r="C146" s="21" t="str">
        <f>$B146&amp;CHAR(10)&amp;ConvertCode(OpCode!K146,OpCode!I146,OpCode!G146,OpCode!H146)</f>
        <v>procedure TCPU_8085.op_SUB_B;
begin
  A:= ((A - B)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6" s="21" t="str">
        <f>"with OpCodes[$"&amp;OpCode!A146&amp;"] do begin" &amp;
" code:= @"&amp;A146&amp;";"&amp;
" inst:= '"&amp;OpCode!B146&amp;"';"&amp;
" fmt:= '"&amp;OpCode!B146&amp;IF(OpCode!C146&lt;&gt;"","'+#9+'"&amp;convertFormat(OpCode!C146),"")&amp;"'"&amp;";"&amp;
" group:= Egroup."&amp;OpCode!D146&amp;";"&amp;
" mode:= Emode."&amp;OpCode!E146&amp;";"&amp;
" len:= "&amp;OpCode!F146&amp;";"&amp;
" cycle:= ["&amp;SUBSTITUTE(OpCode!G146,"|",",")&amp;"];"&amp;
" state:= ["&amp;SUBSTITUTE(OpCode!H146,"|",",")&amp;"];"&amp;
" end;"</f>
        <v>with OpCodes[$90] do begin code:= @op_SUB_B; inst:= 'SUB'; fmt:= 'SUB'+#9+'B'; group:= Egroup.arith; mode:= Emode.reg; len:= 1; cycle:= [1]; state:= [4]; end;</v>
      </c>
    </row>
    <row r="147" spans="1:4" ht="146.25" x14ac:dyDescent="0.25">
      <c r="A147" s="19" t="str">
        <f>"op"&amp;"_"&amp;OpCode!B147&amp;ConvertFormat2(OpCode!C147)</f>
        <v>op_SUB_C</v>
      </c>
      <c r="B147" s="20" t="str">
        <f t="shared" si="2"/>
        <v>procedure TCPU_8085.op_SUB_C;</v>
      </c>
      <c r="C147" s="21" t="str">
        <f>$B147&amp;CHAR(10)&amp;ConvertCode(OpCode!K147,OpCode!I147,OpCode!G147,OpCode!H147)</f>
        <v>procedure TCPU_8085.op_SUB_C;
begin
  A:= ((A - C)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7" s="21" t="str">
        <f>"with OpCodes[$"&amp;OpCode!A147&amp;"] do begin" &amp;
" code:= @"&amp;A147&amp;";"&amp;
" inst:= '"&amp;OpCode!B147&amp;"';"&amp;
" fmt:= '"&amp;OpCode!B147&amp;IF(OpCode!C147&lt;&gt;"","'+#9+'"&amp;convertFormat(OpCode!C147),"")&amp;"'"&amp;";"&amp;
" group:= Egroup."&amp;OpCode!D147&amp;";"&amp;
" mode:= Emode."&amp;OpCode!E147&amp;";"&amp;
" len:= "&amp;OpCode!F147&amp;";"&amp;
" cycle:= ["&amp;SUBSTITUTE(OpCode!G147,"|",",")&amp;"];"&amp;
" state:= ["&amp;SUBSTITUTE(OpCode!H147,"|",",")&amp;"];"&amp;
" end;"</f>
        <v>with OpCodes[$91] do begin code:= @op_SUB_C; inst:= 'SUB'; fmt:= 'SUB'+#9+'C'; group:= Egroup.arith; mode:= Emode.reg; len:= 1; cycle:= [1]; state:= [4]; end;</v>
      </c>
    </row>
    <row r="148" spans="1:4" ht="146.25" x14ac:dyDescent="0.25">
      <c r="A148" s="19" t="str">
        <f>"op"&amp;"_"&amp;OpCode!B148&amp;ConvertFormat2(OpCode!C148)</f>
        <v>op_SUB_D</v>
      </c>
      <c r="B148" s="20" t="str">
        <f t="shared" si="2"/>
        <v>procedure TCPU_8085.op_SUB_D;</v>
      </c>
      <c r="C148" s="21" t="str">
        <f>$B148&amp;CHAR(10)&amp;ConvertCode(OpCode!K148,OpCode!I148,OpCode!G148,OpCode!H148)</f>
        <v>procedure TCPU_8085.op_SUB_D;
begin
  A:= ((A - D)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8" s="21" t="str">
        <f>"with OpCodes[$"&amp;OpCode!A148&amp;"] do begin" &amp;
" code:= @"&amp;A148&amp;";"&amp;
" inst:= '"&amp;OpCode!B148&amp;"';"&amp;
" fmt:= '"&amp;OpCode!B148&amp;IF(OpCode!C148&lt;&gt;"","'+#9+'"&amp;convertFormat(OpCode!C148),"")&amp;"'"&amp;";"&amp;
" group:= Egroup."&amp;OpCode!D148&amp;";"&amp;
" mode:= Emode."&amp;OpCode!E148&amp;";"&amp;
" len:= "&amp;OpCode!F148&amp;";"&amp;
" cycle:= ["&amp;SUBSTITUTE(OpCode!G148,"|",",")&amp;"];"&amp;
" state:= ["&amp;SUBSTITUTE(OpCode!H148,"|",",")&amp;"];"&amp;
" end;"</f>
        <v>with OpCodes[$92] do begin code:= @op_SUB_D; inst:= 'SUB'; fmt:= 'SUB'+#9+'D'; group:= Egroup.arith; mode:= Emode.reg; len:= 1; cycle:= [1]; state:= [4]; end;</v>
      </c>
    </row>
    <row r="149" spans="1:4" ht="146.25" x14ac:dyDescent="0.25">
      <c r="A149" s="19" t="str">
        <f>"op"&amp;"_"&amp;OpCode!B149&amp;ConvertFormat2(OpCode!C149)</f>
        <v>op_SUB_E</v>
      </c>
      <c r="B149" s="20" t="str">
        <f t="shared" si="2"/>
        <v>procedure TCPU_8085.op_SUB_E;</v>
      </c>
      <c r="C149" s="21" t="str">
        <f>$B149&amp;CHAR(10)&amp;ConvertCode(OpCode!K149,OpCode!I149,OpCode!G149,OpCode!H149)</f>
        <v>procedure TCPU_8085.op_SUB_E;
begin
  A:= ((A - E)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49" s="21" t="str">
        <f>"with OpCodes[$"&amp;OpCode!A149&amp;"] do begin" &amp;
" code:= @"&amp;A149&amp;";"&amp;
" inst:= '"&amp;OpCode!B149&amp;"';"&amp;
" fmt:= '"&amp;OpCode!B149&amp;IF(OpCode!C149&lt;&gt;"","'+#9+'"&amp;convertFormat(OpCode!C149),"")&amp;"'"&amp;";"&amp;
" group:= Egroup."&amp;OpCode!D149&amp;";"&amp;
" mode:= Emode."&amp;OpCode!E149&amp;";"&amp;
" len:= "&amp;OpCode!F149&amp;";"&amp;
" cycle:= ["&amp;SUBSTITUTE(OpCode!G149,"|",",")&amp;"];"&amp;
" state:= ["&amp;SUBSTITUTE(OpCode!H149,"|",",")&amp;"];"&amp;
" end;"</f>
        <v>with OpCodes[$93] do begin code:= @op_SUB_E; inst:= 'SUB'; fmt:= 'SUB'+#9+'E'; group:= Egroup.arith; mode:= Emode.reg; len:= 1; cycle:= [1]; state:= [4]; end;</v>
      </c>
    </row>
    <row r="150" spans="1:4" ht="146.25" x14ac:dyDescent="0.25">
      <c r="A150" s="19" t="str">
        <f>"op"&amp;"_"&amp;OpCode!B150&amp;ConvertFormat2(OpCode!C150)</f>
        <v>op_SUB_H</v>
      </c>
      <c r="B150" s="20" t="str">
        <f t="shared" si="2"/>
        <v>procedure TCPU_8085.op_SUB_H;</v>
      </c>
      <c r="C150" s="21" t="str">
        <f>$B150&amp;CHAR(10)&amp;ConvertCode(OpCode!K150,OpCode!I150,OpCode!G150,OpCode!H150)</f>
        <v>procedure TCPU_8085.op_SUB_H;
begin
  A:= ((A - H)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0" s="21" t="str">
        <f>"with OpCodes[$"&amp;OpCode!A150&amp;"] do begin" &amp;
" code:= @"&amp;A150&amp;";"&amp;
" inst:= '"&amp;OpCode!B150&amp;"';"&amp;
" fmt:= '"&amp;OpCode!B150&amp;IF(OpCode!C150&lt;&gt;"","'+#9+'"&amp;convertFormat(OpCode!C150),"")&amp;"'"&amp;";"&amp;
" group:= Egroup."&amp;OpCode!D150&amp;";"&amp;
" mode:= Emode."&amp;OpCode!E150&amp;";"&amp;
" len:= "&amp;OpCode!F150&amp;";"&amp;
" cycle:= ["&amp;SUBSTITUTE(OpCode!G150,"|",",")&amp;"];"&amp;
" state:= ["&amp;SUBSTITUTE(OpCode!H150,"|",",")&amp;"];"&amp;
" end;"</f>
        <v>with OpCodes[$94] do begin code:= @op_SUB_H; inst:= 'SUB'; fmt:= 'SUB'+#9+'H'; group:= Egroup.arith; mode:= Emode.reg; len:= 1; cycle:= [1]; state:= [4]; end;</v>
      </c>
    </row>
    <row r="151" spans="1:4" ht="146.25" x14ac:dyDescent="0.25">
      <c r="A151" s="19" t="str">
        <f>"op"&amp;"_"&amp;OpCode!B151&amp;ConvertFormat2(OpCode!C151)</f>
        <v>op_SUB_L</v>
      </c>
      <c r="B151" s="20" t="str">
        <f t="shared" si="2"/>
        <v>procedure TCPU_8085.op_SUB_L;</v>
      </c>
      <c r="C151" s="21" t="str">
        <f>$B151&amp;CHAR(10)&amp;ConvertCode(OpCode!K151,OpCode!I151,OpCode!G151,OpCode!H151)</f>
        <v>procedure TCPU_8085.op_SUB_L;
begin
  A:= ((A - L)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1" s="21" t="str">
        <f>"with OpCodes[$"&amp;OpCode!A151&amp;"] do begin" &amp;
" code:= @"&amp;A151&amp;";"&amp;
" inst:= '"&amp;OpCode!B151&amp;"';"&amp;
" fmt:= '"&amp;OpCode!B151&amp;IF(OpCode!C151&lt;&gt;"","'+#9+'"&amp;convertFormat(OpCode!C151),"")&amp;"'"&amp;";"&amp;
" group:= Egroup."&amp;OpCode!D151&amp;";"&amp;
" mode:= Emode."&amp;OpCode!E151&amp;";"&amp;
" len:= "&amp;OpCode!F151&amp;";"&amp;
" cycle:= ["&amp;SUBSTITUTE(OpCode!G151,"|",",")&amp;"];"&amp;
" state:= ["&amp;SUBSTITUTE(OpCode!H151,"|",",")&amp;"];"&amp;
" end;"</f>
        <v>with OpCodes[$95] do begin code:= @op_SUB_L; inst:= 'SUB'; fmt:= 'SUB'+#9+'L'; group:= Egroup.arith; mode:= Emode.reg; len:= 1; cycle:= [1]; state:= [4]; end;</v>
      </c>
    </row>
    <row r="152" spans="1:4" ht="180" x14ac:dyDescent="0.25">
      <c r="A152" s="19" t="str">
        <f>"op"&amp;"_"&amp;OpCode!B152&amp;ConvertFormat2(OpCode!C152)</f>
        <v>op_SUB_M</v>
      </c>
      <c r="B152" s="20" t="str">
        <f t="shared" si="2"/>
        <v>procedure TCPU_8085.op_SUB_M;</v>
      </c>
      <c r="C152" s="21" t="str">
        <f>$B152&amp;CHAR(10)&amp;ConvertCode(OpCode!K152,OpCode!I152,OpCode!G152,OpCode!H152)</f>
        <v>procedure TCPU_8085.op_SUB_M;
var 
  HL: iSize16;
begin
  HL:= H shl 8 + L;
  A:= A - ReadMem(HL);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52" s="21" t="str">
        <f>"with OpCodes[$"&amp;OpCode!A152&amp;"] do begin" &amp;
" code:= @"&amp;A152&amp;";"&amp;
" inst:= '"&amp;OpCode!B152&amp;"';"&amp;
" fmt:= '"&amp;OpCode!B152&amp;IF(OpCode!C152&lt;&gt;"","'+#9+'"&amp;convertFormat(OpCode!C152),"")&amp;"'"&amp;";"&amp;
" group:= Egroup."&amp;OpCode!D152&amp;";"&amp;
" mode:= Emode."&amp;OpCode!E152&amp;";"&amp;
" len:= "&amp;OpCode!F152&amp;";"&amp;
" cycle:= ["&amp;SUBSTITUTE(OpCode!G152,"|",",")&amp;"];"&amp;
" state:= ["&amp;SUBSTITUTE(OpCode!H152,"|",",")&amp;"];"&amp;
" end;"</f>
        <v>with OpCodes[$96] do begin code:= @op_SUB_M; inst:= 'SUB'; fmt:= 'SUB'+#9+'M'; group:= Egroup.arith; mode:= Emode.ind_reg; len:= 1; cycle:= [2]; state:= [7]; end;</v>
      </c>
    </row>
    <row r="153" spans="1:4" ht="146.25" x14ac:dyDescent="0.25">
      <c r="A153" s="19" t="str">
        <f>"op"&amp;"_"&amp;OpCode!B153&amp;ConvertFormat2(OpCode!C153)</f>
        <v>op_SUB_A</v>
      </c>
      <c r="B153" s="20" t="str">
        <f t="shared" si="2"/>
        <v>procedure TCPU_8085.op_SUB_A;</v>
      </c>
      <c r="C153" s="21" t="str">
        <f>$B153&amp;CHAR(10)&amp;ConvertCode(OpCode!K153,OpCode!I153,OpCode!G153,OpCode!H153)</f>
        <v>procedure TCPU_8085.op_SUB_A;
begin
  A:= ((A - A)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3" s="21" t="str">
        <f>"with OpCodes[$"&amp;OpCode!A153&amp;"] do begin" &amp;
" code:= @"&amp;A153&amp;";"&amp;
" inst:= '"&amp;OpCode!B153&amp;"';"&amp;
" fmt:= '"&amp;OpCode!B153&amp;IF(OpCode!C153&lt;&gt;"","'+#9+'"&amp;convertFormat(OpCode!C153),"")&amp;"'"&amp;";"&amp;
" group:= Egroup."&amp;OpCode!D153&amp;";"&amp;
" mode:= Emode."&amp;OpCode!E153&amp;";"&amp;
" len:= "&amp;OpCode!F153&amp;";"&amp;
" cycle:= ["&amp;SUBSTITUTE(OpCode!G153,"|",",")&amp;"];"&amp;
" state:= ["&amp;SUBSTITUTE(OpCode!H153,"|",",")&amp;"];"&amp;
" end;"</f>
        <v>with OpCodes[$97] do begin code:= @op_SUB_A; inst:= 'SUB'; fmt:= 'SUB'+#9+'A'; group:= Egroup.arith; mode:= Emode.reg; len:= 1; cycle:= [1]; state:= [4]; end;</v>
      </c>
    </row>
    <row r="154" spans="1:4" ht="146.25" x14ac:dyDescent="0.25">
      <c r="A154" s="19" t="str">
        <f>"op"&amp;"_"&amp;OpCode!B154&amp;ConvertFormat2(OpCode!C154)</f>
        <v>op_SBB_B</v>
      </c>
      <c r="B154" s="20" t="str">
        <f t="shared" si="2"/>
        <v>procedure TCPU_8085.op_SBB_B;</v>
      </c>
      <c r="C154" s="21" t="str">
        <f>$B154&amp;CHAR(10)&amp;ConvertCode(OpCode!K154,OpCode!I154,OpCode!G154,OpCode!H154)</f>
        <v>procedure TCPU_8085.op_SBB_B;
begin
  A:= ((A - B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4" s="21" t="str">
        <f>"with OpCodes[$"&amp;OpCode!A154&amp;"] do begin" &amp;
" code:= @"&amp;A154&amp;";"&amp;
" inst:= '"&amp;OpCode!B154&amp;"';"&amp;
" fmt:= '"&amp;OpCode!B154&amp;IF(OpCode!C154&lt;&gt;"","'+#9+'"&amp;convertFormat(OpCode!C154),"")&amp;"'"&amp;";"&amp;
" group:= Egroup."&amp;OpCode!D154&amp;";"&amp;
" mode:= Emode."&amp;OpCode!E154&amp;";"&amp;
" len:= "&amp;OpCode!F154&amp;";"&amp;
" cycle:= ["&amp;SUBSTITUTE(OpCode!G154,"|",",")&amp;"];"&amp;
" state:= ["&amp;SUBSTITUTE(OpCode!H154,"|",",")&amp;"];"&amp;
" end;"</f>
        <v>with OpCodes[$98] do begin code:= @op_SBB_B; inst:= 'SBB'; fmt:= 'SBB'+#9+'B'; group:= Egroup.arith; mode:= Emode.reg; len:= 1; cycle:= [1]; state:= [4]; end;</v>
      </c>
    </row>
    <row r="155" spans="1:4" ht="146.25" x14ac:dyDescent="0.25">
      <c r="A155" s="19" t="str">
        <f>"op"&amp;"_"&amp;OpCode!B155&amp;ConvertFormat2(OpCode!C155)</f>
        <v>op_SBB_C</v>
      </c>
      <c r="B155" s="20" t="str">
        <f t="shared" si="2"/>
        <v>procedure TCPU_8085.op_SBB_C;</v>
      </c>
      <c r="C155" s="21" t="str">
        <f>$B155&amp;CHAR(10)&amp;ConvertCode(OpCode!K155,OpCode!I155,OpCode!G155,OpCode!H155)</f>
        <v>procedure TCPU_8085.op_SBB_C;
begin
  A:= ((A - C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5" s="21" t="str">
        <f>"with OpCodes[$"&amp;OpCode!A155&amp;"] do begin" &amp;
" code:= @"&amp;A155&amp;";"&amp;
" inst:= '"&amp;OpCode!B155&amp;"';"&amp;
" fmt:= '"&amp;OpCode!B155&amp;IF(OpCode!C155&lt;&gt;"","'+#9+'"&amp;convertFormat(OpCode!C155),"")&amp;"'"&amp;";"&amp;
" group:= Egroup."&amp;OpCode!D155&amp;";"&amp;
" mode:= Emode."&amp;OpCode!E155&amp;";"&amp;
" len:= "&amp;OpCode!F155&amp;";"&amp;
" cycle:= ["&amp;SUBSTITUTE(OpCode!G155,"|",",")&amp;"];"&amp;
" state:= ["&amp;SUBSTITUTE(OpCode!H155,"|",",")&amp;"];"&amp;
" end;"</f>
        <v>with OpCodes[$99] do begin code:= @op_SBB_C; inst:= 'SBB'; fmt:= 'SBB'+#9+'C'; group:= Egroup.arith; mode:= Emode.reg; len:= 1; cycle:= [1]; state:= [4]; end;</v>
      </c>
    </row>
    <row r="156" spans="1:4" ht="146.25" x14ac:dyDescent="0.25">
      <c r="A156" s="19" t="str">
        <f>"op"&amp;"_"&amp;OpCode!B156&amp;ConvertFormat2(OpCode!C156)</f>
        <v>op_SBB_D</v>
      </c>
      <c r="B156" s="20" t="str">
        <f t="shared" si="2"/>
        <v>procedure TCPU_8085.op_SBB_D;</v>
      </c>
      <c r="C156" s="21" t="str">
        <f>$B156&amp;CHAR(10)&amp;ConvertCode(OpCode!K156,OpCode!I156,OpCode!G156,OpCode!H156)</f>
        <v>procedure TCPU_8085.op_SBB_D;
begin
  A:= ((A - D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6" s="21" t="str">
        <f>"with OpCodes[$"&amp;OpCode!A156&amp;"] do begin" &amp;
" code:= @"&amp;A156&amp;";"&amp;
" inst:= '"&amp;OpCode!B156&amp;"';"&amp;
" fmt:= '"&amp;OpCode!B156&amp;IF(OpCode!C156&lt;&gt;"","'+#9+'"&amp;convertFormat(OpCode!C156),"")&amp;"'"&amp;";"&amp;
" group:= Egroup."&amp;OpCode!D156&amp;";"&amp;
" mode:= Emode."&amp;OpCode!E156&amp;";"&amp;
" len:= "&amp;OpCode!F156&amp;";"&amp;
" cycle:= ["&amp;SUBSTITUTE(OpCode!G156,"|",",")&amp;"];"&amp;
" state:= ["&amp;SUBSTITUTE(OpCode!H156,"|",",")&amp;"];"&amp;
" end;"</f>
        <v>with OpCodes[$9A] do begin code:= @op_SBB_D; inst:= 'SBB'; fmt:= 'SBB'+#9+'D'; group:= Egroup.arith; mode:= Emode.reg; len:= 1; cycle:= [1]; state:= [4]; end;</v>
      </c>
    </row>
    <row r="157" spans="1:4" ht="146.25" x14ac:dyDescent="0.25">
      <c r="A157" s="19" t="str">
        <f>"op"&amp;"_"&amp;OpCode!B157&amp;ConvertFormat2(OpCode!C157)</f>
        <v>op_SBB_E</v>
      </c>
      <c r="B157" s="20" t="str">
        <f t="shared" si="2"/>
        <v>procedure TCPU_8085.op_SBB_E;</v>
      </c>
      <c r="C157" s="21" t="str">
        <f>$B157&amp;CHAR(10)&amp;ConvertCode(OpCode!K157,OpCode!I157,OpCode!G157,OpCode!H157)</f>
        <v>procedure TCPU_8085.op_SBB_E;
begin
  A:= ((A - E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7" s="21" t="str">
        <f>"with OpCodes[$"&amp;OpCode!A157&amp;"] do begin" &amp;
" code:= @"&amp;A157&amp;";"&amp;
" inst:= '"&amp;OpCode!B157&amp;"';"&amp;
" fmt:= '"&amp;OpCode!B157&amp;IF(OpCode!C157&lt;&gt;"","'+#9+'"&amp;convertFormat(OpCode!C157),"")&amp;"'"&amp;";"&amp;
" group:= Egroup."&amp;OpCode!D157&amp;";"&amp;
" mode:= Emode."&amp;OpCode!E157&amp;";"&amp;
" len:= "&amp;OpCode!F157&amp;";"&amp;
" cycle:= ["&amp;SUBSTITUTE(OpCode!G157,"|",",")&amp;"];"&amp;
" state:= ["&amp;SUBSTITUTE(OpCode!H157,"|",",")&amp;"];"&amp;
" end;"</f>
        <v>with OpCodes[$9B] do begin code:= @op_SBB_E; inst:= 'SBB'; fmt:= 'SBB'+#9+'E'; group:= Egroup.arith; mode:= Emode.reg; len:= 1; cycle:= [1]; state:= [4]; end;</v>
      </c>
    </row>
    <row r="158" spans="1:4" ht="146.25" x14ac:dyDescent="0.25">
      <c r="A158" s="19" t="str">
        <f>"op"&amp;"_"&amp;OpCode!B158&amp;ConvertFormat2(OpCode!C158)</f>
        <v>op_SBB_H</v>
      </c>
      <c r="B158" s="20" t="str">
        <f t="shared" si="2"/>
        <v>procedure TCPU_8085.op_SBB_H;</v>
      </c>
      <c r="C158" s="21" t="str">
        <f>$B158&amp;CHAR(10)&amp;ConvertCode(OpCode!K158,OpCode!I158,OpCode!G158,OpCode!H158)</f>
        <v>procedure TCPU_8085.op_SBB_H;
begin
  A:= ((A - H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8" s="21" t="str">
        <f>"with OpCodes[$"&amp;OpCode!A158&amp;"] do begin" &amp;
" code:= @"&amp;A158&amp;";"&amp;
" inst:= '"&amp;OpCode!B158&amp;"';"&amp;
" fmt:= '"&amp;OpCode!B158&amp;IF(OpCode!C158&lt;&gt;"","'+#9+'"&amp;convertFormat(OpCode!C158),"")&amp;"'"&amp;";"&amp;
" group:= Egroup."&amp;OpCode!D158&amp;";"&amp;
" mode:= Emode."&amp;OpCode!E158&amp;";"&amp;
" len:= "&amp;OpCode!F158&amp;";"&amp;
" cycle:= ["&amp;SUBSTITUTE(OpCode!G158,"|",",")&amp;"];"&amp;
" state:= ["&amp;SUBSTITUTE(OpCode!H158,"|",",")&amp;"];"&amp;
" end;"</f>
        <v>with OpCodes[$9C] do begin code:= @op_SBB_H; inst:= 'SBB'; fmt:= 'SBB'+#9+'H'; group:= Egroup.arith; mode:= Emode.reg; len:= 1; cycle:= [1]; state:= [4]; end;</v>
      </c>
    </row>
    <row r="159" spans="1:4" ht="146.25" x14ac:dyDescent="0.25">
      <c r="A159" s="19" t="str">
        <f>"op"&amp;"_"&amp;OpCode!B159&amp;ConvertFormat2(OpCode!C159)</f>
        <v>op_SBB_L</v>
      </c>
      <c r="B159" s="20" t="str">
        <f t="shared" si="2"/>
        <v>procedure TCPU_8085.op_SBB_L;</v>
      </c>
      <c r="C159" s="21" t="str">
        <f>$B159&amp;CHAR(10)&amp;ConvertCode(OpCode!K159,OpCode!I159,OpCode!G159,OpCode!H159)</f>
        <v>procedure TCPU_8085.op_SBB_L;
begin
  A:= ((A - L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59" s="21" t="str">
        <f>"with OpCodes[$"&amp;OpCode!A159&amp;"] do begin" &amp;
" code:= @"&amp;A159&amp;";"&amp;
" inst:= '"&amp;OpCode!B159&amp;"';"&amp;
" fmt:= '"&amp;OpCode!B159&amp;IF(OpCode!C159&lt;&gt;"","'+#9+'"&amp;convertFormat(OpCode!C159),"")&amp;"'"&amp;";"&amp;
" group:= Egroup."&amp;OpCode!D159&amp;";"&amp;
" mode:= Emode."&amp;OpCode!E159&amp;";"&amp;
" len:= "&amp;OpCode!F159&amp;";"&amp;
" cycle:= ["&amp;SUBSTITUTE(OpCode!G159,"|",",")&amp;"];"&amp;
" state:= ["&amp;SUBSTITUTE(OpCode!H159,"|",",")&amp;"];"&amp;
" end;"</f>
        <v>with OpCodes[$9D] do begin code:= @op_SBB_L; inst:= 'SBB'; fmt:= 'SBB'+#9+'L'; group:= Egroup.arith; mode:= Emode.reg; len:= 1; cycle:= [1]; state:= [4]; end;</v>
      </c>
    </row>
    <row r="160" spans="1:4" ht="180" x14ac:dyDescent="0.25">
      <c r="A160" s="19" t="str">
        <f>"op"&amp;"_"&amp;OpCode!B160&amp;ConvertFormat2(OpCode!C160)</f>
        <v>op_SBB_M</v>
      </c>
      <c r="B160" s="20" t="str">
        <f t="shared" si="2"/>
        <v>procedure TCPU_8085.op_SBB_M;</v>
      </c>
      <c r="C160" s="21" t="str">
        <f>$B160&amp;CHAR(10)&amp;ConvertCode(OpCode!K160,OpCode!I160,OpCode!G160,OpCode!H160)</f>
        <v>procedure TCPU_8085.op_SBB_M;
var 
  HL: iSize16;
begin
  HL:= H shl 8 + L;
  A:= A - ReadMem(HL) - CY;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60" s="21" t="str">
        <f>"with OpCodes[$"&amp;OpCode!A160&amp;"] do begin" &amp;
" code:= @"&amp;A160&amp;";"&amp;
" inst:= '"&amp;OpCode!B160&amp;"';"&amp;
" fmt:= '"&amp;OpCode!B160&amp;IF(OpCode!C160&lt;&gt;"","'+#9+'"&amp;convertFormat(OpCode!C160),"")&amp;"'"&amp;";"&amp;
" group:= Egroup."&amp;OpCode!D160&amp;";"&amp;
" mode:= Emode."&amp;OpCode!E160&amp;";"&amp;
" len:= "&amp;OpCode!F160&amp;";"&amp;
" cycle:= ["&amp;SUBSTITUTE(OpCode!G160,"|",",")&amp;"];"&amp;
" state:= ["&amp;SUBSTITUTE(OpCode!H160,"|",",")&amp;"];"&amp;
" end;"</f>
        <v>with OpCodes[$9E] do begin code:= @op_SBB_M; inst:= 'SBB'; fmt:= 'SBB'+#9+'M'; group:= Egroup.arith; mode:= Emode.ind_reg; len:= 1; cycle:= [2]; state:= [7]; end;</v>
      </c>
    </row>
    <row r="161" spans="1:4" ht="146.25" x14ac:dyDescent="0.25">
      <c r="A161" s="19" t="str">
        <f>"op"&amp;"_"&amp;OpCode!B161&amp;ConvertFormat2(OpCode!C161)</f>
        <v>op_SBB_A</v>
      </c>
      <c r="B161" s="20" t="str">
        <f t="shared" si="2"/>
        <v>procedure TCPU_8085.op_SBB_A;</v>
      </c>
      <c r="C161" s="21" t="str">
        <f>$B161&amp;CHAR(10)&amp;ConvertCode(OpCode!K161,OpCode!I161,OpCode!G161,OpCode!H161)</f>
        <v>procedure TCPU_8085.op_SBB_A;
begin
  A:= ((A - A - CY) and $FF);
  F[EFlags.k]:= ?;
  F[EFlags.v]:= ?;
  F[EFlags.z]:= A = 0;
  F[EFlags.p]:= parity_of_bits[A];
  F[EFlags.s]:= (A and $80) = $80;
  F[EFlags.hc]:= (A and $0F) = $F;  
  F[EFlags.cy]:= (A and $100) = $100;  
  inc(cycles);
  inc(states, 4);
end;</v>
      </c>
      <c r="D161" s="21" t="str">
        <f>"with OpCodes[$"&amp;OpCode!A161&amp;"] do begin" &amp;
" code:= @"&amp;A161&amp;";"&amp;
" inst:= '"&amp;OpCode!B161&amp;"';"&amp;
" fmt:= '"&amp;OpCode!B161&amp;IF(OpCode!C161&lt;&gt;"","'+#9+'"&amp;convertFormat(OpCode!C161),"")&amp;"'"&amp;";"&amp;
" group:= Egroup."&amp;OpCode!D161&amp;";"&amp;
" mode:= Emode."&amp;OpCode!E161&amp;";"&amp;
" len:= "&amp;OpCode!F161&amp;";"&amp;
" cycle:= ["&amp;SUBSTITUTE(OpCode!G161,"|",",")&amp;"];"&amp;
" state:= ["&amp;SUBSTITUTE(OpCode!H161,"|",",")&amp;"];"&amp;
" end;"</f>
        <v>with OpCodes[$9F] do begin code:= @op_SBB_A; inst:= 'SBB'; fmt:= 'SBB'+#9+'A'; group:= Egroup.arith; mode:= Emode.reg; len:= 1; cycle:= [1]; state:= [4]; end;</v>
      </c>
    </row>
    <row r="162" spans="1:4" ht="146.25" x14ac:dyDescent="0.25">
      <c r="A162" s="19" t="str">
        <f>"op"&amp;"_"&amp;OpCode!B162&amp;ConvertFormat2(OpCode!C162)</f>
        <v>op_ANA_B</v>
      </c>
      <c r="B162" s="20" t="str">
        <f t="shared" si="2"/>
        <v>procedure TCPU_8085.op_ANA_B;</v>
      </c>
      <c r="C162" s="21" t="str">
        <f>$B162&amp;CHAR(10)&amp;ConvertCode(OpCode!K162,OpCode!I162,OpCode!G162,OpCode!H162)</f>
        <v>procedure TCPU_8085.op_ANA_B;
begin
  A:= ((A and B) and $FF);
  F[EFlags.k]:= ?;
  F[EFlags.z]:= A = 0;
  F[EFlags.p]:= parity_of_bits[A];
  F[EFlags.s]:= (A and $80) = $80;
  F[EFlags.v]:= false;
  F[EFlags.cy]:= false;
  F[EFlags.hc]:= true;
  inc(cycles);
  inc(states, 4);
end;</v>
      </c>
      <c r="D162" s="21" t="str">
        <f>"with OpCodes[$"&amp;OpCode!A162&amp;"] do begin" &amp;
" code:= @"&amp;A162&amp;";"&amp;
" inst:= '"&amp;OpCode!B162&amp;"';"&amp;
" fmt:= '"&amp;OpCode!B162&amp;IF(OpCode!C162&lt;&gt;"","'+#9+'"&amp;convertFormat(OpCode!C162),"")&amp;"'"&amp;";"&amp;
" group:= Egroup."&amp;OpCode!D162&amp;";"&amp;
" mode:= Emode."&amp;OpCode!E162&amp;";"&amp;
" len:= "&amp;OpCode!F162&amp;";"&amp;
" cycle:= ["&amp;SUBSTITUTE(OpCode!G162,"|",",")&amp;"];"&amp;
" state:= ["&amp;SUBSTITUTE(OpCode!H162,"|",",")&amp;"];"&amp;
" end;"</f>
        <v>with OpCodes[$A0] do begin code:= @op_ANA_B; inst:= 'ANA'; fmt:= 'ANA'+#9+'B'; group:= Egroup.logic; mode:= Emode.reg; len:= 1; cycle:= [1]; state:= [4]; end;</v>
      </c>
    </row>
    <row r="163" spans="1:4" ht="146.25" x14ac:dyDescent="0.25">
      <c r="A163" s="19" t="str">
        <f>"op"&amp;"_"&amp;OpCode!B163&amp;ConvertFormat2(OpCode!C163)</f>
        <v>op_ANA_C</v>
      </c>
      <c r="B163" s="20" t="str">
        <f t="shared" si="2"/>
        <v>procedure TCPU_8085.op_ANA_C;</v>
      </c>
      <c r="C163" s="21" t="str">
        <f>$B163&amp;CHAR(10)&amp;ConvertCode(OpCode!K163,OpCode!I163,OpCode!G163,OpCode!H163)</f>
        <v>procedure TCPU_8085.op_ANA_C;
begin
  A:= ((A and C) and $FF);
  F[EFlags.k]:= ?;
  F[EFlags.z]:= A = 0;
  F[EFlags.p]:= parity_of_bits[A];
  F[EFlags.s]:= (A and $80) = $80;
  F[EFlags.v]:= false;
  F[EFlags.cy]:= false;
  F[EFlags.hc]:= true;
  inc(cycles);
  inc(states, 4);
end;</v>
      </c>
      <c r="D163" s="21" t="str">
        <f>"with OpCodes[$"&amp;OpCode!A163&amp;"] do begin" &amp;
" code:= @"&amp;A163&amp;";"&amp;
" inst:= '"&amp;OpCode!B163&amp;"';"&amp;
" fmt:= '"&amp;OpCode!B163&amp;IF(OpCode!C163&lt;&gt;"","'+#9+'"&amp;convertFormat(OpCode!C163),"")&amp;"'"&amp;";"&amp;
" group:= Egroup."&amp;OpCode!D163&amp;";"&amp;
" mode:= Emode."&amp;OpCode!E163&amp;";"&amp;
" len:= "&amp;OpCode!F163&amp;";"&amp;
" cycle:= ["&amp;SUBSTITUTE(OpCode!G163,"|",",")&amp;"];"&amp;
" state:= ["&amp;SUBSTITUTE(OpCode!H163,"|",",")&amp;"];"&amp;
" end;"</f>
        <v>with OpCodes[$A1] do begin code:= @op_ANA_C; inst:= 'ANA'; fmt:= 'ANA'+#9+'C'; group:= Egroup.logic; mode:= Emode.reg; len:= 1; cycle:= [1]; state:= [4]; end;</v>
      </c>
    </row>
    <row r="164" spans="1:4" ht="146.25" x14ac:dyDescent="0.25">
      <c r="A164" s="19" t="str">
        <f>"op"&amp;"_"&amp;OpCode!B164&amp;ConvertFormat2(OpCode!C164)</f>
        <v>op_ANA_D</v>
      </c>
      <c r="B164" s="20" t="str">
        <f t="shared" si="2"/>
        <v>procedure TCPU_8085.op_ANA_D;</v>
      </c>
      <c r="C164" s="21" t="str">
        <f>$B164&amp;CHAR(10)&amp;ConvertCode(OpCode!K164,OpCode!I164,OpCode!G164,OpCode!H164)</f>
        <v>procedure TCPU_8085.op_ANA_D;
begin
  A:= ((A and D) and $FF);
  F[EFlags.k]:= ?;
  F[EFlags.z]:= A = 0;
  F[EFlags.p]:= parity_of_bits[A];
  F[EFlags.s]:= (A and $80) = $80;
  F[EFlags.v]:= false;
  F[EFlags.cy]:= false;
  F[EFlags.hc]:= true;
  inc(cycles);
  inc(states, 4);
end;</v>
      </c>
      <c r="D164" s="21" t="str">
        <f>"with OpCodes[$"&amp;OpCode!A164&amp;"] do begin" &amp;
" code:= @"&amp;A164&amp;";"&amp;
" inst:= '"&amp;OpCode!B164&amp;"';"&amp;
" fmt:= '"&amp;OpCode!B164&amp;IF(OpCode!C164&lt;&gt;"","'+#9+'"&amp;convertFormat(OpCode!C164),"")&amp;"'"&amp;";"&amp;
" group:= Egroup."&amp;OpCode!D164&amp;";"&amp;
" mode:= Emode."&amp;OpCode!E164&amp;";"&amp;
" len:= "&amp;OpCode!F164&amp;";"&amp;
" cycle:= ["&amp;SUBSTITUTE(OpCode!G164,"|",",")&amp;"];"&amp;
" state:= ["&amp;SUBSTITUTE(OpCode!H164,"|",",")&amp;"];"&amp;
" end;"</f>
        <v>with OpCodes[$A2] do begin code:= @op_ANA_D; inst:= 'ANA'; fmt:= 'ANA'+#9+'D'; group:= Egroup.logic; mode:= Emode.reg; len:= 1; cycle:= [1]; state:= [4]; end;</v>
      </c>
    </row>
    <row r="165" spans="1:4" ht="146.25" x14ac:dyDescent="0.25">
      <c r="A165" s="19" t="str">
        <f>"op"&amp;"_"&amp;OpCode!B165&amp;ConvertFormat2(OpCode!C165)</f>
        <v>op_ANA_E</v>
      </c>
      <c r="B165" s="20" t="str">
        <f t="shared" si="2"/>
        <v>procedure TCPU_8085.op_ANA_E;</v>
      </c>
      <c r="C165" s="21" t="str">
        <f>$B165&amp;CHAR(10)&amp;ConvertCode(OpCode!K165,OpCode!I165,OpCode!G165,OpCode!H165)</f>
        <v>procedure TCPU_8085.op_ANA_E;
begin
  A:= ((A and E) and $FF);
  F[EFlags.k]:= ?;
  F[EFlags.z]:= A = 0;
  F[EFlags.p]:= parity_of_bits[A];
  F[EFlags.s]:= (A and $80) = $80;
  F[EFlags.v]:= false;
  F[EFlags.cy]:= false;
  F[EFlags.hc]:= true;
  inc(cycles);
  inc(states, 4);
end;</v>
      </c>
      <c r="D165" s="21" t="str">
        <f>"with OpCodes[$"&amp;OpCode!A165&amp;"] do begin" &amp;
" code:= @"&amp;A165&amp;";"&amp;
" inst:= '"&amp;OpCode!B165&amp;"';"&amp;
" fmt:= '"&amp;OpCode!B165&amp;IF(OpCode!C165&lt;&gt;"","'+#9+'"&amp;convertFormat(OpCode!C165),"")&amp;"'"&amp;";"&amp;
" group:= Egroup."&amp;OpCode!D165&amp;";"&amp;
" mode:= Emode."&amp;OpCode!E165&amp;";"&amp;
" len:= "&amp;OpCode!F165&amp;";"&amp;
" cycle:= ["&amp;SUBSTITUTE(OpCode!G165,"|",",")&amp;"];"&amp;
" state:= ["&amp;SUBSTITUTE(OpCode!H165,"|",",")&amp;"];"&amp;
" end;"</f>
        <v>with OpCodes[$A3] do begin code:= @op_ANA_E; inst:= 'ANA'; fmt:= 'ANA'+#9+'E'; group:= Egroup.logic; mode:= Emode.reg; len:= 1; cycle:= [1]; state:= [4]; end;</v>
      </c>
    </row>
    <row r="166" spans="1:4" ht="146.25" x14ac:dyDescent="0.25">
      <c r="A166" s="19" t="str">
        <f>"op"&amp;"_"&amp;OpCode!B166&amp;ConvertFormat2(OpCode!C166)</f>
        <v>op_ANA_H</v>
      </c>
      <c r="B166" s="20" t="str">
        <f t="shared" si="2"/>
        <v>procedure TCPU_8085.op_ANA_H;</v>
      </c>
      <c r="C166" s="21" t="str">
        <f>$B166&amp;CHAR(10)&amp;ConvertCode(OpCode!K166,OpCode!I166,OpCode!G166,OpCode!H166)</f>
        <v>procedure TCPU_8085.op_ANA_H;
begin
  A:= ((A and H) and $FF);
  F[EFlags.k]:= ?;
  F[EFlags.z]:= A = 0;
  F[EFlags.p]:= parity_of_bits[A];
  F[EFlags.s]:= (A and $80) = $80;
  F[EFlags.v]:= false;
  F[EFlags.cy]:= false;
  F[EFlags.hc]:= true;
  inc(cycles);
  inc(states, 4);
end;</v>
      </c>
      <c r="D166" s="21" t="str">
        <f>"with OpCodes[$"&amp;OpCode!A166&amp;"] do begin" &amp;
" code:= @"&amp;A166&amp;";"&amp;
" inst:= '"&amp;OpCode!B166&amp;"';"&amp;
" fmt:= '"&amp;OpCode!B166&amp;IF(OpCode!C166&lt;&gt;"","'+#9+'"&amp;convertFormat(OpCode!C166),"")&amp;"'"&amp;";"&amp;
" group:= Egroup."&amp;OpCode!D166&amp;";"&amp;
" mode:= Emode."&amp;OpCode!E166&amp;";"&amp;
" len:= "&amp;OpCode!F166&amp;";"&amp;
" cycle:= ["&amp;SUBSTITUTE(OpCode!G166,"|",",")&amp;"];"&amp;
" state:= ["&amp;SUBSTITUTE(OpCode!H166,"|",",")&amp;"];"&amp;
" end;"</f>
        <v>with OpCodes[$A4] do begin code:= @op_ANA_H; inst:= 'ANA'; fmt:= 'ANA'+#9+'H'; group:= Egroup.logic; mode:= Emode.reg; len:= 1; cycle:= [1]; state:= [4]; end;</v>
      </c>
    </row>
    <row r="167" spans="1:4" ht="146.25" x14ac:dyDescent="0.25">
      <c r="A167" s="19" t="str">
        <f>"op"&amp;"_"&amp;OpCode!B167&amp;ConvertFormat2(OpCode!C167)</f>
        <v>op_ANA_L</v>
      </c>
      <c r="B167" s="20" t="str">
        <f t="shared" si="2"/>
        <v>procedure TCPU_8085.op_ANA_L;</v>
      </c>
      <c r="C167" s="21" t="str">
        <f>$B167&amp;CHAR(10)&amp;ConvertCode(OpCode!K167,OpCode!I167,OpCode!G167,OpCode!H167)</f>
        <v>procedure TCPU_8085.op_ANA_L;
begin
  A:= ((A and L) and $FF);
  F[EFlags.k]:= ?;
  F[EFlags.z]:= A = 0;
  F[EFlags.p]:= parity_of_bits[A];
  F[EFlags.s]:= (A and $80) = $80;
  F[EFlags.v]:= false;
  F[EFlags.cy]:= false;
  F[EFlags.hc]:= true;
  inc(cycles);
  inc(states, 4);
end;</v>
      </c>
      <c r="D167" s="21" t="str">
        <f>"with OpCodes[$"&amp;OpCode!A167&amp;"] do begin" &amp;
" code:= @"&amp;A167&amp;";"&amp;
" inst:= '"&amp;OpCode!B167&amp;"';"&amp;
" fmt:= '"&amp;OpCode!B167&amp;IF(OpCode!C167&lt;&gt;"","'+#9+'"&amp;convertFormat(OpCode!C167),"")&amp;"'"&amp;";"&amp;
" group:= Egroup."&amp;OpCode!D167&amp;";"&amp;
" mode:= Emode."&amp;OpCode!E167&amp;";"&amp;
" len:= "&amp;OpCode!F167&amp;";"&amp;
" cycle:= ["&amp;SUBSTITUTE(OpCode!G167,"|",",")&amp;"];"&amp;
" state:= ["&amp;SUBSTITUTE(OpCode!H167,"|",",")&amp;"];"&amp;
" end;"</f>
        <v>with OpCodes[$A5] do begin code:= @op_ANA_L; inst:= 'ANA'; fmt:= 'ANA'+#9+'L'; group:= Egroup.logic; mode:= Emode.reg; len:= 1; cycle:= [1]; state:= [4]; end;</v>
      </c>
    </row>
    <row r="168" spans="1:4" ht="180" x14ac:dyDescent="0.25">
      <c r="A168" s="19" t="str">
        <f>"op"&amp;"_"&amp;OpCode!B168&amp;ConvertFormat2(OpCode!C168)</f>
        <v>op_ANA_M</v>
      </c>
      <c r="B168" s="20" t="str">
        <f t="shared" si="2"/>
        <v>procedure TCPU_8085.op_ANA_M;</v>
      </c>
      <c r="C168" s="21" t="str">
        <f>$B168&amp;CHAR(10)&amp;ConvertCode(OpCode!K168,OpCode!I168,OpCode!G168,OpCode!H168)</f>
        <v>procedure TCPU_8085.op_ANA_M;
var 
  HL: iSize16;
begin
  HL:= H shl 8 + L;
  A:= A and ReadMem(HL);
  F[EFlags.k]:= ?;
  F[EFlags.z]:= A = 0;
  F[EFlags.p]:= parity_of_bits[A];
  F[EFlags.s]:= (A and $80) = $80;
  F[EFlags.v]:= false;
  F[EFlags.cy]:= false;
  F[EFlags.hc]:= true;
  inc(cycles, 2);
  inc(states, 7);
end;</v>
      </c>
      <c r="D168" s="21" t="str">
        <f>"with OpCodes[$"&amp;OpCode!A168&amp;"] do begin" &amp;
" code:= @"&amp;A168&amp;";"&amp;
" inst:= '"&amp;OpCode!B168&amp;"';"&amp;
" fmt:= '"&amp;OpCode!B168&amp;IF(OpCode!C168&lt;&gt;"","'+#9+'"&amp;convertFormat(OpCode!C168),"")&amp;"'"&amp;";"&amp;
" group:= Egroup."&amp;OpCode!D168&amp;";"&amp;
" mode:= Emode."&amp;OpCode!E168&amp;";"&amp;
" len:= "&amp;OpCode!F168&amp;";"&amp;
" cycle:= ["&amp;SUBSTITUTE(OpCode!G168,"|",",")&amp;"];"&amp;
" state:= ["&amp;SUBSTITUTE(OpCode!H168,"|",",")&amp;"];"&amp;
" end;"</f>
        <v>with OpCodes[$A6] do begin code:= @op_ANA_M; inst:= 'ANA'; fmt:= 'ANA'+#9+'M'; group:= Egroup.logic; mode:= Emode.ind_reg; len:= 1; cycle:= [2]; state:= [7]; end;</v>
      </c>
    </row>
    <row r="169" spans="1:4" ht="146.25" x14ac:dyDescent="0.25">
      <c r="A169" s="19" t="str">
        <f>"op"&amp;"_"&amp;OpCode!B169&amp;ConvertFormat2(OpCode!C169)</f>
        <v>op_ANA_A</v>
      </c>
      <c r="B169" s="20" t="str">
        <f t="shared" si="2"/>
        <v>procedure TCPU_8085.op_ANA_A;</v>
      </c>
      <c r="C169" s="21" t="str">
        <f>$B169&amp;CHAR(10)&amp;ConvertCode(OpCode!K169,OpCode!I169,OpCode!G169,OpCode!H169)</f>
        <v>procedure TCPU_8085.op_ANA_A;
begin
  A:= ((A and A) and $FF);
  F[EFlags.k]:= ?;
  F[EFlags.z]:= A = 0;
  F[EFlags.p]:= parity_of_bits[A];
  F[EFlags.s]:= (A and $80) = $80;
  F[EFlags.v]:= false;
  F[EFlags.cy]:= false;
  F[EFlags.hc]:= true;
  inc(cycles);
  inc(states, 4);
end;</v>
      </c>
      <c r="D169" s="21" t="str">
        <f>"with OpCodes[$"&amp;OpCode!A169&amp;"] do begin" &amp;
" code:= @"&amp;A169&amp;";"&amp;
" inst:= '"&amp;OpCode!B169&amp;"';"&amp;
" fmt:= '"&amp;OpCode!B169&amp;IF(OpCode!C169&lt;&gt;"","'+#9+'"&amp;convertFormat(OpCode!C169),"")&amp;"'"&amp;";"&amp;
" group:= Egroup."&amp;OpCode!D169&amp;";"&amp;
" mode:= Emode."&amp;OpCode!E169&amp;";"&amp;
" len:= "&amp;OpCode!F169&amp;";"&amp;
" cycle:= ["&amp;SUBSTITUTE(OpCode!G169,"|",",")&amp;"];"&amp;
" state:= ["&amp;SUBSTITUTE(OpCode!H169,"|",",")&amp;"];"&amp;
" end;"</f>
        <v>with OpCodes[$A7] do begin code:= @op_ANA_A; inst:= 'ANA'; fmt:= 'ANA'+#9+'A'; group:= Egroup.logic; mode:= Emode.reg; len:= 1; cycle:= [1]; state:= [4]; end;</v>
      </c>
    </row>
    <row r="170" spans="1:4" ht="135" x14ac:dyDescent="0.25">
      <c r="A170" s="19" t="str">
        <f>"op"&amp;"_"&amp;OpCode!B170&amp;ConvertFormat2(OpCode!C170)</f>
        <v>op_XRA_B</v>
      </c>
      <c r="B170" s="20" t="str">
        <f t="shared" si="2"/>
        <v>procedure TCPU_8085.op_XRA_B;</v>
      </c>
      <c r="C170" s="21" t="str">
        <f>$B170&amp;CHAR(10)&amp;ConvertCode(OpCode!K170,OpCode!I170,OpCode!G170,OpCode!H170)</f>
        <v>procedure TCPU_8085.op_XRA_B;
begin
  A:= ((A xor B) and $FF);
  F[EFlags.k]:= ?;
  F[EFlags.z]:= A = 0;
  F[EFlags.p]:= parity_of_bits[A];
  F[EFlags.s]:= (A and $80) = $80;
  F[EFlags.hc]:= false;
  F[EFlags.cy]:= false;
  inc(cycles);
  inc(states, 4);
end;</v>
      </c>
      <c r="D170" s="21" t="str">
        <f>"with OpCodes[$"&amp;OpCode!A170&amp;"] do begin" &amp;
" code:= @"&amp;A170&amp;";"&amp;
" inst:= '"&amp;OpCode!B170&amp;"';"&amp;
" fmt:= '"&amp;OpCode!B170&amp;IF(OpCode!C170&lt;&gt;"","'+#9+'"&amp;convertFormat(OpCode!C170),"")&amp;"'"&amp;";"&amp;
" group:= Egroup."&amp;OpCode!D170&amp;";"&amp;
" mode:= Emode."&amp;OpCode!E170&amp;";"&amp;
" len:= "&amp;OpCode!F170&amp;";"&amp;
" cycle:= ["&amp;SUBSTITUTE(OpCode!G170,"|",",")&amp;"];"&amp;
" state:= ["&amp;SUBSTITUTE(OpCode!H170,"|",",")&amp;"];"&amp;
" end;"</f>
        <v>with OpCodes[$A8] do begin code:= @op_XRA_B; inst:= 'XRA'; fmt:= 'XRA'+#9+'B'; group:= Egroup.logic; mode:= Emode.reg; len:= 1; cycle:= [1]; state:= [4]; end;</v>
      </c>
    </row>
    <row r="171" spans="1:4" ht="135" x14ac:dyDescent="0.25">
      <c r="A171" s="19" t="str">
        <f>"op"&amp;"_"&amp;OpCode!B171&amp;ConvertFormat2(OpCode!C171)</f>
        <v>op_XRA_C</v>
      </c>
      <c r="B171" s="20" t="str">
        <f t="shared" si="2"/>
        <v>procedure TCPU_8085.op_XRA_C;</v>
      </c>
      <c r="C171" s="21" t="str">
        <f>$B171&amp;CHAR(10)&amp;ConvertCode(OpCode!K171,OpCode!I171,OpCode!G171,OpCode!H171)</f>
        <v>procedure TCPU_8085.op_XRA_C;
begin
  A:= ((A xor C) and $FF);
  F[EFlags.k]:= ?;
  F[EFlags.z]:= A = 0;
  F[EFlags.p]:= parity_of_bits[A];
  F[EFlags.s]:= (A and $80) = $80;
  F[EFlags.hc]:= false;
  F[EFlags.cy]:= false;
  inc(cycles);
  inc(states, 4);
end;</v>
      </c>
      <c r="D171" s="21" t="str">
        <f>"with OpCodes[$"&amp;OpCode!A171&amp;"] do begin" &amp;
" code:= @"&amp;A171&amp;";"&amp;
" inst:= '"&amp;OpCode!B171&amp;"';"&amp;
" fmt:= '"&amp;OpCode!B171&amp;IF(OpCode!C171&lt;&gt;"","'+#9+'"&amp;convertFormat(OpCode!C171),"")&amp;"'"&amp;";"&amp;
" group:= Egroup."&amp;OpCode!D171&amp;";"&amp;
" mode:= Emode."&amp;OpCode!E171&amp;";"&amp;
" len:= "&amp;OpCode!F171&amp;";"&amp;
" cycle:= ["&amp;SUBSTITUTE(OpCode!G171,"|",",")&amp;"];"&amp;
" state:= ["&amp;SUBSTITUTE(OpCode!H171,"|",",")&amp;"];"&amp;
" end;"</f>
        <v>with OpCodes[$A9] do begin code:= @op_XRA_C; inst:= 'XRA'; fmt:= 'XRA'+#9+'C'; group:= Egroup.logic; mode:= Emode.reg; len:= 1; cycle:= [1]; state:= [4]; end;</v>
      </c>
    </row>
    <row r="172" spans="1:4" ht="135" x14ac:dyDescent="0.25">
      <c r="A172" s="19" t="str">
        <f>"op"&amp;"_"&amp;OpCode!B172&amp;ConvertFormat2(OpCode!C172)</f>
        <v>op_XRA_D</v>
      </c>
      <c r="B172" s="20" t="str">
        <f t="shared" si="2"/>
        <v>procedure TCPU_8085.op_XRA_D;</v>
      </c>
      <c r="C172" s="21" t="str">
        <f>$B172&amp;CHAR(10)&amp;ConvertCode(OpCode!K172,OpCode!I172,OpCode!G172,OpCode!H172)</f>
        <v>procedure TCPU_8085.op_XRA_D;
begin
  A:= ((A xor D) and $FF);
  F[EFlags.k]:= ?;
  F[EFlags.z]:= A = 0;
  F[EFlags.p]:= parity_of_bits[A];
  F[EFlags.s]:= (A and $80) = $80;
  F[EFlags.hc]:= false;
  F[EFlags.cy]:= false;
  inc(cycles);
  inc(states, 4);
end;</v>
      </c>
      <c r="D172" s="21" t="str">
        <f>"with OpCodes[$"&amp;OpCode!A172&amp;"] do begin" &amp;
" code:= @"&amp;A172&amp;";"&amp;
" inst:= '"&amp;OpCode!B172&amp;"';"&amp;
" fmt:= '"&amp;OpCode!B172&amp;IF(OpCode!C172&lt;&gt;"","'+#9+'"&amp;convertFormat(OpCode!C172),"")&amp;"'"&amp;";"&amp;
" group:= Egroup."&amp;OpCode!D172&amp;";"&amp;
" mode:= Emode."&amp;OpCode!E172&amp;";"&amp;
" len:= "&amp;OpCode!F172&amp;";"&amp;
" cycle:= ["&amp;SUBSTITUTE(OpCode!G172,"|",",")&amp;"];"&amp;
" state:= ["&amp;SUBSTITUTE(OpCode!H172,"|",",")&amp;"];"&amp;
" end;"</f>
        <v>with OpCodes[$AA] do begin code:= @op_XRA_D; inst:= 'XRA'; fmt:= 'XRA'+#9+'D'; group:= Egroup.logic; mode:= Emode.reg; len:= 1; cycle:= [1]; state:= [4]; end;</v>
      </c>
    </row>
    <row r="173" spans="1:4" ht="135" x14ac:dyDescent="0.25">
      <c r="A173" s="19" t="str">
        <f>"op"&amp;"_"&amp;OpCode!B173&amp;ConvertFormat2(OpCode!C173)</f>
        <v>op_XRA_E</v>
      </c>
      <c r="B173" s="20" t="str">
        <f t="shared" si="2"/>
        <v>procedure TCPU_8085.op_XRA_E;</v>
      </c>
      <c r="C173" s="21" t="str">
        <f>$B173&amp;CHAR(10)&amp;ConvertCode(OpCode!K173,OpCode!I173,OpCode!G173,OpCode!H173)</f>
        <v>procedure TCPU_8085.op_XRA_E;
begin
  A:= ((A xor E) and $FF);
  F[EFlags.k]:= ?;
  F[EFlags.z]:= A = 0;
  F[EFlags.p]:= parity_of_bits[A];
  F[EFlags.s]:= (A and $80) = $80;
  F[EFlags.hc]:= false;
  F[EFlags.cy]:= false;
  inc(cycles);
  inc(states, 4);
end;</v>
      </c>
      <c r="D173" s="21" t="str">
        <f>"with OpCodes[$"&amp;OpCode!A173&amp;"] do begin" &amp;
" code:= @"&amp;A173&amp;";"&amp;
" inst:= '"&amp;OpCode!B173&amp;"';"&amp;
" fmt:= '"&amp;OpCode!B173&amp;IF(OpCode!C173&lt;&gt;"","'+#9+'"&amp;convertFormat(OpCode!C173),"")&amp;"'"&amp;";"&amp;
" group:= Egroup."&amp;OpCode!D173&amp;";"&amp;
" mode:= Emode."&amp;OpCode!E173&amp;";"&amp;
" len:= "&amp;OpCode!F173&amp;";"&amp;
" cycle:= ["&amp;SUBSTITUTE(OpCode!G173,"|",",")&amp;"];"&amp;
" state:= ["&amp;SUBSTITUTE(OpCode!H173,"|",",")&amp;"];"&amp;
" end;"</f>
        <v>with OpCodes[$AB] do begin code:= @op_XRA_E; inst:= 'XRA'; fmt:= 'XRA'+#9+'E'; group:= Egroup.logic; mode:= Emode.reg; len:= 1; cycle:= [1]; state:= [4]; end;</v>
      </c>
    </row>
    <row r="174" spans="1:4" ht="135" x14ac:dyDescent="0.25">
      <c r="A174" s="19" t="str">
        <f>"op"&amp;"_"&amp;OpCode!B174&amp;ConvertFormat2(OpCode!C174)</f>
        <v>op_XRA_H</v>
      </c>
      <c r="B174" s="20" t="str">
        <f t="shared" si="2"/>
        <v>procedure TCPU_8085.op_XRA_H;</v>
      </c>
      <c r="C174" s="21" t="str">
        <f>$B174&amp;CHAR(10)&amp;ConvertCode(OpCode!K174,OpCode!I174,OpCode!G174,OpCode!H174)</f>
        <v>procedure TCPU_8085.op_XRA_H;
begin
  A:= ((A xor H) and $FF);
  F[EFlags.k]:= ?;
  F[EFlags.z]:= A = 0;
  F[EFlags.p]:= parity_of_bits[A];
  F[EFlags.s]:= (A and $80) = $80;
  F[EFlags.hc]:= false;
  F[EFlags.cy]:= false;
  inc(cycles);
  inc(states, 4);
end;</v>
      </c>
      <c r="D174" s="21" t="str">
        <f>"with OpCodes[$"&amp;OpCode!A174&amp;"] do begin" &amp;
" code:= @"&amp;A174&amp;";"&amp;
" inst:= '"&amp;OpCode!B174&amp;"';"&amp;
" fmt:= '"&amp;OpCode!B174&amp;IF(OpCode!C174&lt;&gt;"","'+#9+'"&amp;convertFormat(OpCode!C174),"")&amp;"'"&amp;";"&amp;
" group:= Egroup."&amp;OpCode!D174&amp;";"&amp;
" mode:= Emode."&amp;OpCode!E174&amp;";"&amp;
" len:= "&amp;OpCode!F174&amp;";"&amp;
" cycle:= ["&amp;SUBSTITUTE(OpCode!G174,"|",",")&amp;"];"&amp;
" state:= ["&amp;SUBSTITUTE(OpCode!H174,"|",",")&amp;"];"&amp;
" end;"</f>
        <v>with OpCodes[$AC] do begin code:= @op_XRA_H; inst:= 'XRA'; fmt:= 'XRA'+#9+'H'; group:= Egroup.logic; mode:= Emode.reg; len:= 1; cycle:= [1]; state:= [4]; end;</v>
      </c>
    </row>
    <row r="175" spans="1:4" ht="135" x14ac:dyDescent="0.25">
      <c r="A175" s="19" t="str">
        <f>"op"&amp;"_"&amp;OpCode!B175&amp;ConvertFormat2(OpCode!C175)</f>
        <v>op_XRA_L</v>
      </c>
      <c r="B175" s="20" t="str">
        <f t="shared" si="2"/>
        <v>procedure TCPU_8085.op_XRA_L;</v>
      </c>
      <c r="C175" s="21" t="str">
        <f>$B175&amp;CHAR(10)&amp;ConvertCode(OpCode!K175,OpCode!I175,OpCode!G175,OpCode!H175)</f>
        <v>procedure TCPU_8085.op_XRA_L;
begin
  A:= ((A xor L) and $FF);
  F[EFlags.k]:= ?;
  F[EFlags.z]:= A = 0;
  F[EFlags.p]:= parity_of_bits[A];
  F[EFlags.s]:= (A and $80) = $80;
  F[EFlags.hc]:= false;
  F[EFlags.cy]:= false;
  inc(cycles);
  inc(states, 4);
end;</v>
      </c>
      <c r="D175" s="21" t="str">
        <f>"with OpCodes[$"&amp;OpCode!A175&amp;"] do begin" &amp;
" code:= @"&amp;A175&amp;";"&amp;
" inst:= '"&amp;OpCode!B175&amp;"';"&amp;
" fmt:= '"&amp;OpCode!B175&amp;IF(OpCode!C175&lt;&gt;"","'+#9+'"&amp;convertFormat(OpCode!C175),"")&amp;"'"&amp;";"&amp;
" group:= Egroup."&amp;OpCode!D175&amp;";"&amp;
" mode:= Emode."&amp;OpCode!E175&amp;";"&amp;
" len:= "&amp;OpCode!F175&amp;";"&amp;
" cycle:= ["&amp;SUBSTITUTE(OpCode!G175,"|",",")&amp;"];"&amp;
" state:= ["&amp;SUBSTITUTE(OpCode!H175,"|",",")&amp;"];"&amp;
" end;"</f>
        <v>with OpCodes[$AD] do begin code:= @op_XRA_L; inst:= 'XRA'; fmt:= 'XRA'+#9+'L'; group:= Egroup.logic; mode:= Emode.reg; len:= 1; cycle:= [1]; state:= [4]; end;</v>
      </c>
    </row>
    <row r="176" spans="1:4" ht="168.75" x14ac:dyDescent="0.25">
      <c r="A176" s="19" t="str">
        <f>"op"&amp;"_"&amp;OpCode!B176&amp;ConvertFormat2(OpCode!C176)</f>
        <v>op_XRA_M</v>
      </c>
      <c r="B176" s="20" t="str">
        <f t="shared" si="2"/>
        <v>procedure TCPU_8085.op_XRA_M;</v>
      </c>
      <c r="C176" s="21" t="str">
        <f>$B176&amp;CHAR(10)&amp;ConvertCode(OpCode!K176,OpCode!I176,OpCode!G176,OpCode!H176)</f>
        <v>procedure TCPU_8085.op_XRA_M;
var 
  HL: iSize16;
begin
  HL:= H shl 8 + L;
  A:= A xor ReadMem(HL);
  F[EFlags.k]:= ?;
  F[EFlags.z]:= A = 0;
  F[EFlags.p]:= parity_of_bits[A];
  F[EFlags.s]:= (A and $80) = $80;
  F[EFlags.hc]:= false;
  F[EFlags.cy]:= false;
  inc(cycles, 2);
  inc(states, 7);
end;</v>
      </c>
      <c r="D176" s="21" t="str">
        <f>"with OpCodes[$"&amp;OpCode!A176&amp;"] do begin" &amp;
" code:= @"&amp;A176&amp;";"&amp;
" inst:= '"&amp;OpCode!B176&amp;"';"&amp;
" fmt:= '"&amp;OpCode!B176&amp;IF(OpCode!C176&lt;&gt;"","'+#9+'"&amp;convertFormat(OpCode!C176),"")&amp;"'"&amp;";"&amp;
" group:= Egroup."&amp;OpCode!D176&amp;";"&amp;
" mode:= Emode."&amp;OpCode!E176&amp;";"&amp;
" len:= "&amp;OpCode!F176&amp;";"&amp;
" cycle:= ["&amp;SUBSTITUTE(OpCode!G176,"|",",")&amp;"];"&amp;
" state:= ["&amp;SUBSTITUTE(OpCode!H176,"|",",")&amp;"];"&amp;
" end;"</f>
        <v>with OpCodes[$AE] do begin code:= @op_XRA_M; inst:= 'XRA'; fmt:= 'XRA'+#9+'M'; group:= Egroup.logic; mode:= Emode.ind_reg; len:= 1; cycle:= [2]; state:= [7]; end;</v>
      </c>
    </row>
    <row r="177" spans="1:4" ht="135" x14ac:dyDescent="0.25">
      <c r="A177" s="19" t="str">
        <f>"op"&amp;"_"&amp;OpCode!B177&amp;ConvertFormat2(OpCode!C177)</f>
        <v>op_XRA_A</v>
      </c>
      <c r="B177" s="20" t="str">
        <f t="shared" si="2"/>
        <v>procedure TCPU_8085.op_XRA_A;</v>
      </c>
      <c r="C177" s="21" t="str">
        <f>$B177&amp;CHAR(10)&amp;ConvertCode(OpCode!K177,OpCode!I177,OpCode!G177,OpCode!H177)</f>
        <v>procedure TCPU_8085.op_XRA_A;
begin
  A:= ((A xor A) and $FF);
  F[EFlags.k]:= ?;
  F[EFlags.z]:= A = 0;
  F[EFlags.p]:= parity_of_bits[A];
  F[EFlags.s]:= (A and $80) = $80;
  F[EFlags.hc]:= false;
  F[EFlags.cy]:= false;
  inc(cycles);
  inc(states, 4);
end;</v>
      </c>
      <c r="D177" s="21" t="str">
        <f>"with OpCodes[$"&amp;OpCode!A177&amp;"] do begin" &amp;
" code:= @"&amp;A177&amp;";"&amp;
" inst:= '"&amp;OpCode!B177&amp;"';"&amp;
" fmt:= '"&amp;OpCode!B177&amp;IF(OpCode!C177&lt;&gt;"","'+#9+'"&amp;convertFormat(OpCode!C177),"")&amp;"'"&amp;";"&amp;
" group:= Egroup."&amp;OpCode!D177&amp;";"&amp;
" mode:= Emode."&amp;OpCode!E177&amp;";"&amp;
" len:= "&amp;OpCode!F177&amp;";"&amp;
" cycle:= ["&amp;SUBSTITUTE(OpCode!G177,"|",",")&amp;"];"&amp;
" state:= ["&amp;SUBSTITUTE(OpCode!H177,"|",",")&amp;"];"&amp;
" end;"</f>
        <v>with OpCodes[$AF] do begin code:= @op_XRA_A; inst:= 'XRA'; fmt:= 'XRA'+#9+'A'; group:= Egroup.logic; mode:= Emode.reg; len:= 1; cycle:= [1]; state:= [4]; end;</v>
      </c>
    </row>
    <row r="178" spans="1:4" ht="146.25" x14ac:dyDescent="0.25">
      <c r="A178" s="19" t="str">
        <f>"op"&amp;"_"&amp;OpCode!B178&amp;ConvertFormat2(OpCode!C178)</f>
        <v>op_ORA_B</v>
      </c>
      <c r="B178" s="20" t="str">
        <f t="shared" si="2"/>
        <v>procedure TCPU_8085.op_ORA_B;</v>
      </c>
      <c r="C178" s="21" t="str">
        <f>$B178&amp;CHAR(10)&amp;ConvertCode(OpCode!K178,OpCode!I178,OpCode!G178,OpCode!H178)</f>
        <v>procedure TCPU_8085.op_ORA_B;
begin
  A:= ((A or B) and $FF);
  F[EFlags.k]:= ?;
  F[EFlags.z]:= A = 0;
  F[EFlags.p]:= parity_of_bits[A];
  F[EFlags.s]:= (A and $80) = $80;
  F[EFlags.hc]:= false;
  F[EFlags.v]:= false;
  F[EFlags.cy]:= false;
  inc(cycles);
  inc(states, 4);
end;</v>
      </c>
      <c r="D178" s="21" t="str">
        <f>"with OpCodes[$"&amp;OpCode!A178&amp;"] do begin" &amp;
" code:= @"&amp;A178&amp;";"&amp;
" inst:= '"&amp;OpCode!B178&amp;"';"&amp;
" fmt:= '"&amp;OpCode!B178&amp;IF(OpCode!C178&lt;&gt;"","'+#9+'"&amp;convertFormat(OpCode!C178),"")&amp;"'"&amp;";"&amp;
" group:= Egroup."&amp;OpCode!D178&amp;";"&amp;
" mode:= Emode."&amp;OpCode!E178&amp;";"&amp;
" len:= "&amp;OpCode!F178&amp;";"&amp;
" cycle:= ["&amp;SUBSTITUTE(OpCode!G178,"|",",")&amp;"];"&amp;
" state:= ["&amp;SUBSTITUTE(OpCode!H178,"|",",")&amp;"];"&amp;
" end;"</f>
        <v>with OpCodes[$B0] do begin code:= @op_ORA_B; inst:= 'ORA'; fmt:= 'ORA'+#9+'B'; group:= Egroup.logic; mode:= Emode.reg; len:= 1; cycle:= [1]; state:= [4]; end;</v>
      </c>
    </row>
    <row r="179" spans="1:4" ht="146.25" x14ac:dyDescent="0.25">
      <c r="A179" s="19" t="str">
        <f>"op"&amp;"_"&amp;OpCode!B179&amp;ConvertFormat2(OpCode!C179)</f>
        <v>op_ORA_C</v>
      </c>
      <c r="B179" s="20" t="str">
        <f t="shared" si="2"/>
        <v>procedure TCPU_8085.op_ORA_C;</v>
      </c>
      <c r="C179" s="21" t="str">
        <f>$B179&amp;CHAR(10)&amp;ConvertCode(OpCode!K179,OpCode!I179,OpCode!G179,OpCode!H179)</f>
        <v>procedure TCPU_8085.op_ORA_C;
begin
  A:= ((A or C) and $FF);
  F[EFlags.k]:= ?;
  F[EFlags.z]:= A = 0;
  F[EFlags.p]:= parity_of_bits[A];
  F[EFlags.s]:= (A and $80) = $80;
  F[EFlags.hc]:= false;
  F[EFlags.v]:= false;
  F[EFlags.cy]:= false;
  inc(cycles);
  inc(states, 4);
end;</v>
      </c>
      <c r="D179" s="21" t="str">
        <f>"with OpCodes[$"&amp;OpCode!A179&amp;"] do begin" &amp;
" code:= @"&amp;A179&amp;";"&amp;
" inst:= '"&amp;OpCode!B179&amp;"';"&amp;
" fmt:= '"&amp;OpCode!B179&amp;IF(OpCode!C179&lt;&gt;"","'+#9+'"&amp;convertFormat(OpCode!C179),"")&amp;"'"&amp;";"&amp;
" group:= Egroup."&amp;OpCode!D179&amp;";"&amp;
" mode:= Emode."&amp;OpCode!E179&amp;";"&amp;
" len:= "&amp;OpCode!F179&amp;";"&amp;
" cycle:= ["&amp;SUBSTITUTE(OpCode!G179,"|",",")&amp;"];"&amp;
" state:= ["&amp;SUBSTITUTE(OpCode!H179,"|",",")&amp;"];"&amp;
" end;"</f>
        <v>with OpCodes[$B1] do begin code:= @op_ORA_C; inst:= 'ORA'; fmt:= 'ORA'+#9+'C'; group:= Egroup.logic; mode:= Emode.reg; len:= 1; cycle:= [1]; state:= [4]; end;</v>
      </c>
    </row>
    <row r="180" spans="1:4" ht="146.25" x14ac:dyDescent="0.25">
      <c r="A180" s="19" t="str">
        <f>"op"&amp;"_"&amp;OpCode!B180&amp;ConvertFormat2(OpCode!C180)</f>
        <v>op_ORA_D</v>
      </c>
      <c r="B180" s="20" t="str">
        <f t="shared" si="2"/>
        <v>procedure TCPU_8085.op_ORA_D;</v>
      </c>
      <c r="C180" s="21" t="str">
        <f>$B180&amp;CHAR(10)&amp;ConvertCode(OpCode!K180,OpCode!I180,OpCode!G180,OpCode!H180)</f>
        <v>procedure TCPU_8085.op_ORA_D;
begin
  A:= ((A or D) and $FF);
  F[EFlags.k]:= ?;
  F[EFlags.z]:= A = 0;
  F[EFlags.p]:= parity_of_bits[A];
  F[EFlags.s]:= (A and $80) = $80;
  F[EFlags.hc]:= false;
  F[EFlags.v]:= false;
  F[EFlags.cy]:= false;
  inc(cycles);
  inc(states, 4);
end;</v>
      </c>
      <c r="D180" s="21" t="str">
        <f>"with OpCodes[$"&amp;OpCode!A180&amp;"] do begin" &amp;
" code:= @"&amp;A180&amp;";"&amp;
" inst:= '"&amp;OpCode!B180&amp;"';"&amp;
" fmt:= '"&amp;OpCode!B180&amp;IF(OpCode!C180&lt;&gt;"","'+#9+'"&amp;convertFormat(OpCode!C180),"")&amp;"'"&amp;";"&amp;
" group:= Egroup."&amp;OpCode!D180&amp;";"&amp;
" mode:= Emode."&amp;OpCode!E180&amp;";"&amp;
" len:= "&amp;OpCode!F180&amp;";"&amp;
" cycle:= ["&amp;SUBSTITUTE(OpCode!G180,"|",",")&amp;"];"&amp;
" state:= ["&amp;SUBSTITUTE(OpCode!H180,"|",",")&amp;"];"&amp;
" end;"</f>
        <v>with OpCodes[$B2] do begin code:= @op_ORA_D; inst:= 'ORA'; fmt:= 'ORA'+#9+'D'; group:= Egroup.logic; mode:= Emode.reg; len:= 1; cycle:= [1]; state:= [4]; end;</v>
      </c>
    </row>
    <row r="181" spans="1:4" ht="146.25" x14ac:dyDescent="0.25">
      <c r="A181" s="19" t="str">
        <f>"op"&amp;"_"&amp;OpCode!B181&amp;ConvertFormat2(OpCode!C181)</f>
        <v>op_ORA_E</v>
      </c>
      <c r="B181" s="20" t="str">
        <f t="shared" si="2"/>
        <v>procedure TCPU_8085.op_ORA_E;</v>
      </c>
      <c r="C181" s="21" t="str">
        <f>$B181&amp;CHAR(10)&amp;ConvertCode(OpCode!K181,OpCode!I181,OpCode!G181,OpCode!H181)</f>
        <v>procedure TCPU_8085.op_ORA_E;
begin
  A:= ((A or E) and $FF);
  F[EFlags.k]:= ?;
  F[EFlags.z]:= A = 0;
  F[EFlags.p]:= parity_of_bits[A];
  F[EFlags.s]:= (A and $80) = $80;
  F[EFlags.hc]:= false;
  F[EFlags.v]:= false;
  F[EFlags.cy]:= false;
  inc(cycles);
  inc(states, 4);
end;</v>
      </c>
      <c r="D181" s="21" t="str">
        <f>"with OpCodes[$"&amp;OpCode!A181&amp;"] do begin" &amp;
" code:= @"&amp;A181&amp;";"&amp;
" inst:= '"&amp;OpCode!B181&amp;"';"&amp;
" fmt:= '"&amp;OpCode!B181&amp;IF(OpCode!C181&lt;&gt;"","'+#9+'"&amp;convertFormat(OpCode!C181),"")&amp;"'"&amp;";"&amp;
" group:= Egroup."&amp;OpCode!D181&amp;";"&amp;
" mode:= Emode."&amp;OpCode!E181&amp;";"&amp;
" len:= "&amp;OpCode!F181&amp;";"&amp;
" cycle:= ["&amp;SUBSTITUTE(OpCode!G181,"|",",")&amp;"];"&amp;
" state:= ["&amp;SUBSTITUTE(OpCode!H181,"|",",")&amp;"];"&amp;
" end;"</f>
        <v>with OpCodes[$B3] do begin code:= @op_ORA_E; inst:= 'ORA'; fmt:= 'ORA'+#9+'E'; group:= Egroup.logic; mode:= Emode.reg; len:= 1; cycle:= [1]; state:= [4]; end;</v>
      </c>
    </row>
    <row r="182" spans="1:4" ht="146.25" x14ac:dyDescent="0.25">
      <c r="A182" s="19" t="str">
        <f>"op"&amp;"_"&amp;OpCode!B182&amp;ConvertFormat2(OpCode!C182)</f>
        <v>op_ORA_H</v>
      </c>
      <c r="B182" s="20" t="str">
        <f t="shared" si="2"/>
        <v>procedure TCPU_8085.op_ORA_H;</v>
      </c>
      <c r="C182" s="21" t="str">
        <f>$B182&amp;CHAR(10)&amp;ConvertCode(OpCode!K182,OpCode!I182,OpCode!G182,OpCode!H182)</f>
        <v>procedure TCPU_8085.op_ORA_H;
begin
  A:= ((A or H) and $FF);
  F[EFlags.k]:= ?;
  F[EFlags.z]:= A = 0;
  F[EFlags.p]:= parity_of_bits[A];
  F[EFlags.s]:= (A and $80) = $80;
  F[EFlags.hc]:= false;
  F[EFlags.v]:= false;
  F[EFlags.cy]:= false;
  inc(cycles);
  inc(states, 4);
end;</v>
      </c>
      <c r="D182" s="21" t="str">
        <f>"with OpCodes[$"&amp;OpCode!A182&amp;"] do begin" &amp;
" code:= @"&amp;A182&amp;";"&amp;
" inst:= '"&amp;OpCode!B182&amp;"';"&amp;
" fmt:= '"&amp;OpCode!B182&amp;IF(OpCode!C182&lt;&gt;"","'+#9+'"&amp;convertFormat(OpCode!C182),"")&amp;"'"&amp;";"&amp;
" group:= Egroup."&amp;OpCode!D182&amp;";"&amp;
" mode:= Emode."&amp;OpCode!E182&amp;";"&amp;
" len:= "&amp;OpCode!F182&amp;";"&amp;
" cycle:= ["&amp;SUBSTITUTE(OpCode!G182,"|",",")&amp;"];"&amp;
" state:= ["&amp;SUBSTITUTE(OpCode!H182,"|",",")&amp;"];"&amp;
" end;"</f>
        <v>with OpCodes[$B4] do begin code:= @op_ORA_H; inst:= 'ORA'; fmt:= 'ORA'+#9+'H'; group:= Egroup.logic; mode:= Emode.reg; len:= 1; cycle:= [1]; state:= [4]; end;</v>
      </c>
    </row>
    <row r="183" spans="1:4" ht="146.25" x14ac:dyDescent="0.25">
      <c r="A183" s="19" t="str">
        <f>"op"&amp;"_"&amp;OpCode!B183&amp;ConvertFormat2(OpCode!C183)</f>
        <v>op_ORA_L</v>
      </c>
      <c r="B183" s="20" t="str">
        <f t="shared" si="2"/>
        <v>procedure TCPU_8085.op_ORA_L;</v>
      </c>
      <c r="C183" s="21" t="str">
        <f>$B183&amp;CHAR(10)&amp;ConvertCode(OpCode!K183,OpCode!I183,OpCode!G183,OpCode!H183)</f>
        <v>procedure TCPU_8085.op_ORA_L;
begin
  A:= ((A or L) and $FF);
  F[EFlags.k]:= ?;
  F[EFlags.z]:= A = 0;
  F[EFlags.p]:= parity_of_bits[A];
  F[EFlags.s]:= (A and $80) = $80;
  F[EFlags.hc]:= false;
  F[EFlags.v]:= false;
  F[EFlags.cy]:= false;
  inc(cycles);
  inc(states, 4);
end;</v>
      </c>
      <c r="D183" s="21" t="str">
        <f>"with OpCodes[$"&amp;OpCode!A183&amp;"] do begin" &amp;
" code:= @"&amp;A183&amp;";"&amp;
" inst:= '"&amp;OpCode!B183&amp;"';"&amp;
" fmt:= '"&amp;OpCode!B183&amp;IF(OpCode!C183&lt;&gt;"","'+#9+'"&amp;convertFormat(OpCode!C183),"")&amp;"'"&amp;";"&amp;
" group:= Egroup."&amp;OpCode!D183&amp;";"&amp;
" mode:= Emode."&amp;OpCode!E183&amp;";"&amp;
" len:= "&amp;OpCode!F183&amp;";"&amp;
" cycle:= ["&amp;SUBSTITUTE(OpCode!G183,"|",",")&amp;"];"&amp;
" state:= ["&amp;SUBSTITUTE(OpCode!H183,"|",",")&amp;"];"&amp;
" end;"</f>
        <v>with OpCodes[$B5] do begin code:= @op_ORA_L; inst:= 'ORA'; fmt:= 'ORA'+#9+'L'; group:= Egroup.logic; mode:= Emode.reg; len:= 1; cycle:= [1]; state:= [4]; end;</v>
      </c>
    </row>
    <row r="184" spans="1:4" ht="180" x14ac:dyDescent="0.25">
      <c r="A184" s="19" t="str">
        <f>"op"&amp;"_"&amp;OpCode!B184&amp;ConvertFormat2(OpCode!C184)</f>
        <v>op_ORA_M</v>
      </c>
      <c r="B184" s="20" t="str">
        <f t="shared" si="2"/>
        <v>procedure TCPU_8085.op_ORA_M;</v>
      </c>
      <c r="C184" s="21" t="str">
        <f>$B184&amp;CHAR(10)&amp;ConvertCode(OpCode!K184,OpCode!I184,OpCode!G184,OpCode!H184)</f>
        <v>procedure TCPU_8085.op_ORA_M;
var 
  HL: iSize16;
begin
  HL:= H shl 8 + L;
  A:= A or ReadMem(HL);
  F[EFlags.k]:= ?;
  F[EFlags.z]:= A = 0;
  F[EFlags.p]:= parity_of_bits[A];
  F[EFlags.s]:= (A and $80) = $80;
  F[EFlags.hc]:= false;
  F[EFlags.v]:= false;
  F[EFlags.cy]:= false;
  inc(cycles, 2);
  inc(states, 7);
end;</v>
      </c>
      <c r="D184" s="21" t="str">
        <f>"with OpCodes[$"&amp;OpCode!A184&amp;"] do begin" &amp;
" code:= @"&amp;A184&amp;";"&amp;
" inst:= '"&amp;OpCode!B184&amp;"';"&amp;
" fmt:= '"&amp;OpCode!B184&amp;IF(OpCode!C184&lt;&gt;"","'+#9+'"&amp;convertFormat(OpCode!C184),"")&amp;"'"&amp;";"&amp;
" group:= Egroup."&amp;OpCode!D184&amp;";"&amp;
" mode:= Emode."&amp;OpCode!E184&amp;";"&amp;
" len:= "&amp;OpCode!F184&amp;";"&amp;
" cycle:= ["&amp;SUBSTITUTE(OpCode!G184,"|",",")&amp;"];"&amp;
" state:= ["&amp;SUBSTITUTE(OpCode!H184,"|",",")&amp;"];"&amp;
" end;"</f>
        <v>with OpCodes[$B6] do begin code:= @op_ORA_M; inst:= 'ORA'; fmt:= 'ORA'+#9+'M'; group:= Egroup.logic; mode:= Emode.ind_reg; len:= 1; cycle:= [2]; state:= [7]; end;</v>
      </c>
    </row>
    <row r="185" spans="1:4" ht="146.25" x14ac:dyDescent="0.25">
      <c r="A185" s="19" t="str">
        <f>"op"&amp;"_"&amp;OpCode!B185&amp;ConvertFormat2(OpCode!C185)</f>
        <v>op_ORA_A</v>
      </c>
      <c r="B185" s="20" t="str">
        <f t="shared" si="2"/>
        <v>procedure TCPU_8085.op_ORA_A;</v>
      </c>
      <c r="C185" s="21" t="str">
        <f>$B185&amp;CHAR(10)&amp;ConvertCode(OpCode!K185,OpCode!I185,OpCode!G185,OpCode!H185)</f>
        <v>procedure TCPU_8085.op_ORA_A;
begin
  A:= ((A or A) and $FF);
  F[EFlags.k]:= ?;
  F[EFlags.z]:= A = 0;
  F[EFlags.p]:= parity_of_bits[A];
  F[EFlags.s]:= (A and $80) = $80;
  F[EFlags.hc]:= false;
  F[EFlags.v]:= false;
  F[EFlags.cy]:= false;
  inc(cycles);
  inc(states, 4);
end;</v>
      </c>
      <c r="D185" s="21" t="str">
        <f>"with OpCodes[$"&amp;OpCode!A185&amp;"] do begin" &amp;
" code:= @"&amp;A185&amp;";"&amp;
" inst:= '"&amp;OpCode!B185&amp;"';"&amp;
" fmt:= '"&amp;OpCode!B185&amp;IF(OpCode!C185&lt;&gt;"","'+#9+'"&amp;convertFormat(OpCode!C185),"")&amp;"'"&amp;";"&amp;
" group:= Egroup."&amp;OpCode!D185&amp;";"&amp;
" mode:= Emode."&amp;OpCode!E185&amp;";"&amp;
" len:= "&amp;OpCode!F185&amp;";"&amp;
" cycle:= ["&amp;SUBSTITUTE(OpCode!G185,"|",",")&amp;"];"&amp;
" state:= ["&amp;SUBSTITUTE(OpCode!H185,"|",",")&amp;"];"&amp;
" end;"</f>
        <v>with OpCodes[$B7] do begin code:= @op_ORA_A; inst:= 'ORA'; fmt:= 'ORA'+#9+'A'; group:= Egroup.logic; mode:= Emode.reg; len:= 1; cycle:= [1]; state:= [4]; end;</v>
      </c>
    </row>
    <row r="186" spans="1:4" ht="146.25" x14ac:dyDescent="0.25">
      <c r="A186" s="19" t="str">
        <f>"op"&amp;"_"&amp;OpCode!B186&amp;ConvertFormat2(OpCode!C186)</f>
        <v>op_CMP_B</v>
      </c>
      <c r="B186" s="20" t="str">
        <f t="shared" si="2"/>
        <v>procedure TCPU_8085.op_CMP_B;</v>
      </c>
      <c r="C186" s="21" t="str">
        <f>$B186&amp;CHAR(10)&amp;ConvertCode(OpCode!K186,OpCode!I186,OpCode!G186,OpCode!H186)</f>
        <v>procedure TCPU_8085.op_CMP_B;
begin
  A - B;
  F[EFlags.k]:= ?;
  F[EFlags.v]:= ?;
  F[EFlags.z]:= A = 0;
  F[EFlags.p]:= parity_of_bits[A];
  F[EFlags.s]:= (A and $80) = $80;
  F[EFlags.hc]:= (A and $0F) = $F;  
  F[EFlags.cy]:= (A and $100) = $100;  
  inc(cycles);
  inc(states, 4);
end;</v>
      </c>
      <c r="D186" s="21" t="str">
        <f>"with OpCodes[$"&amp;OpCode!A186&amp;"] do begin" &amp;
" code:= @"&amp;A186&amp;";"&amp;
" inst:= '"&amp;OpCode!B186&amp;"';"&amp;
" fmt:= '"&amp;OpCode!B186&amp;IF(OpCode!C186&lt;&gt;"","'+#9+'"&amp;convertFormat(OpCode!C186),"")&amp;"'"&amp;";"&amp;
" group:= Egroup."&amp;OpCode!D186&amp;";"&amp;
" mode:= Emode."&amp;OpCode!E186&amp;";"&amp;
" len:= "&amp;OpCode!F186&amp;";"&amp;
" cycle:= ["&amp;SUBSTITUTE(OpCode!G186,"|",",")&amp;"];"&amp;
" state:= ["&amp;SUBSTITUTE(OpCode!H186,"|",",")&amp;"];"&amp;
" end;"</f>
        <v>with OpCodes[$B8] do begin code:= @op_CMP_B; inst:= 'CMP'; fmt:= 'CMP'+#9+'B'; group:= Egroup.logic; mode:= Emode.reg; len:= 1; cycle:= [1]; state:= [4]; end;</v>
      </c>
    </row>
    <row r="187" spans="1:4" ht="146.25" x14ac:dyDescent="0.25">
      <c r="A187" s="19" t="str">
        <f>"op"&amp;"_"&amp;OpCode!B187&amp;ConvertFormat2(OpCode!C187)</f>
        <v>op_CMP_C</v>
      </c>
      <c r="B187" s="20" t="str">
        <f t="shared" si="2"/>
        <v>procedure TCPU_8085.op_CMP_C;</v>
      </c>
      <c r="C187" s="21" t="str">
        <f>$B187&amp;CHAR(10)&amp;ConvertCode(OpCode!K187,OpCode!I187,OpCode!G187,OpCode!H187)</f>
        <v>procedure TCPU_8085.op_CMP_C;
begin
  A - C;
  F[EFlags.k]:= ?;
  F[EFlags.v]:= ?;
  F[EFlags.z]:= A = 0;
  F[EFlags.p]:= parity_of_bits[A];
  F[EFlags.s]:= (A and $80) = $80;
  F[EFlags.hc]:= (A and $0F) = $F;  
  F[EFlags.cy]:= (A and $100) = $100;  
  inc(cycles);
  inc(states, 4);
end;</v>
      </c>
      <c r="D187" s="21" t="str">
        <f>"with OpCodes[$"&amp;OpCode!A187&amp;"] do begin" &amp;
" code:= @"&amp;A187&amp;";"&amp;
" inst:= '"&amp;OpCode!B187&amp;"';"&amp;
" fmt:= '"&amp;OpCode!B187&amp;IF(OpCode!C187&lt;&gt;"","'+#9+'"&amp;convertFormat(OpCode!C187),"")&amp;"'"&amp;";"&amp;
" group:= Egroup."&amp;OpCode!D187&amp;";"&amp;
" mode:= Emode."&amp;OpCode!E187&amp;";"&amp;
" len:= "&amp;OpCode!F187&amp;";"&amp;
" cycle:= ["&amp;SUBSTITUTE(OpCode!G187,"|",",")&amp;"];"&amp;
" state:= ["&amp;SUBSTITUTE(OpCode!H187,"|",",")&amp;"];"&amp;
" end;"</f>
        <v>with OpCodes[$B9] do begin code:= @op_CMP_C; inst:= 'CMP'; fmt:= 'CMP'+#9+'C'; group:= Egroup.logic; mode:= Emode.reg; len:= 1; cycle:= [1]; state:= [4]; end;</v>
      </c>
    </row>
    <row r="188" spans="1:4" ht="146.25" x14ac:dyDescent="0.25">
      <c r="A188" s="19" t="str">
        <f>"op"&amp;"_"&amp;OpCode!B188&amp;ConvertFormat2(OpCode!C188)</f>
        <v>op_CMP_D</v>
      </c>
      <c r="B188" s="20" t="str">
        <f t="shared" si="2"/>
        <v>procedure TCPU_8085.op_CMP_D;</v>
      </c>
      <c r="C188" s="21" t="str">
        <f>$B188&amp;CHAR(10)&amp;ConvertCode(OpCode!K188,OpCode!I188,OpCode!G188,OpCode!H188)</f>
        <v>procedure TCPU_8085.op_CMP_D;
begin
  A - D;
  F[EFlags.k]:= ?;
  F[EFlags.v]:= ?;
  F[EFlags.z]:= A = 0;
  F[EFlags.p]:= parity_of_bits[A];
  F[EFlags.s]:= (A and $80) = $80;
  F[EFlags.hc]:= (A and $0F) = $F;  
  F[EFlags.cy]:= (A and $100) = $100;  
  inc(cycles);
  inc(states, 4);
end;</v>
      </c>
      <c r="D188" s="21" t="str">
        <f>"with OpCodes[$"&amp;OpCode!A188&amp;"] do begin" &amp;
" code:= @"&amp;A188&amp;";"&amp;
" inst:= '"&amp;OpCode!B188&amp;"';"&amp;
" fmt:= '"&amp;OpCode!B188&amp;IF(OpCode!C188&lt;&gt;"","'+#9+'"&amp;convertFormat(OpCode!C188),"")&amp;"'"&amp;";"&amp;
" group:= Egroup."&amp;OpCode!D188&amp;";"&amp;
" mode:= Emode."&amp;OpCode!E188&amp;";"&amp;
" len:= "&amp;OpCode!F188&amp;";"&amp;
" cycle:= ["&amp;SUBSTITUTE(OpCode!G188,"|",",")&amp;"];"&amp;
" state:= ["&amp;SUBSTITUTE(OpCode!H188,"|",",")&amp;"];"&amp;
" end;"</f>
        <v>with OpCodes[$BA] do begin code:= @op_CMP_D; inst:= 'CMP'; fmt:= 'CMP'+#9+'D'; group:= Egroup.logic; mode:= Emode.reg; len:= 1; cycle:= [1]; state:= [4]; end;</v>
      </c>
    </row>
    <row r="189" spans="1:4" ht="146.25" x14ac:dyDescent="0.25">
      <c r="A189" s="19" t="str">
        <f>"op"&amp;"_"&amp;OpCode!B189&amp;ConvertFormat2(OpCode!C189)</f>
        <v>op_CMP_E</v>
      </c>
      <c r="B189" s="20" t="str">
        <f t="shared" si="2"/>
        <v>procedure TCPU_8085.op_CMP_E;</v>
      </c>
      <c r="C189" s="21" t="str">
        <f>$B189&amp;CHAR(10)&amp;ConvertCode(OpCode!K189,OpCode!I189,OpCode!G189,OpCode!H189)</f>
        <v>procedure TCPU_8085.op_CMP_E;
begin
  A - E;
  F[EFlags.k]:= ?;
  F[EFlags.v]:= ?;
  F[EFlags.z]:= A = 0;
  F[EFlags.p]:= parity_of_bits[A];
  F[EFlags.s]:= (A and $80) = $80;
  F[EFlags.hc]:= (A and $0F) = $F;  
  F[EFlags.cy]:= (A and $100) = $100;  
  inc(cycles);
  inc(states, 4);
end;</v>
      </c>
      <c r="D189" s="21" t="str">
        <f>"with OpCodes[$"&amp;OpCode!A189&amp;"] do begin" &amp;
" code:= @"&amp;A189&amp;";"&amp;
" inst:= '"&amp;OpCode!B189&amp;"';"&amp;
" fmt:= '"&amp;OpCode!B189&amp;IF(OpCode!C189&lt;&gt;"","'+#9+'"&amp;convertFormat(OpCode!C189),"")&amp;"'"&amp;";"&amp;
" group:= Egroup."&amp;OpCode!D189&amp;";"&amp;
" mode:= Emode."&amp;OpCode!E189&amp;";"&amp;
" len:= "&amp;OpCode!F189&amp;";"&amp;
" cycle:= ["&amp;SUBSTITUTE(OpCode!G189,"|",",")&amp;"];"&amp;
" state:= ["&amp;SUBSTITUTE(OpCode!H189,"|",",")&amp;"];"&amp;
" end;"</f>
        <v>with OpCodes[$BB] do begin code:= @op_CMP_E; inst:= 'CMP'; fmt:= 'CMP'+#9+'E'; group:= Egroup.logic; mode:= Emode.reg; len:= 1; cycle:= [1]; state:= [4]; end;</v>
      </c>
    </row>
    <row r="190" spans="1:4" ht="146.25" x14ac:dyDescent="0.25">
      <c r="A190" s="19" t="str">
        <f>"op"&amp;"_"&amp;OpCode!B190&amp;ConvertFormat2(OpCode!C190)</f>
        <v>op_CMP_H</v>
      </c>
      <c r="B190" s="20" t="str">
        <f t="shared" si="2"/>
        <v>procedure TCPU_8085.op_CMP_H;</v>
      </c>
      <c r="C190" s="21" t="str">
        <f>$B190&amp;CHAR(10)&amp;ConvertCode(OpCode!K190,OpCode!I190,OpCode!G190,OpCode!H190)</f>
        <v>procedure TCPU_8085.op_CMP_H;
begin
  A - H;
  F[EFlags.k]:= ?;
  F[EFlags.v]:= ?;
  F[EFlags.z]:= A = 0;
  F[EFlags.p]:= parity_of_bits[A];
  F[EFlags.s]:= (A and $80) = $80;
  F[EFlags.hc]:= (A and $0F) = $F;  
  F[EFlags.cy]:= (A and $100) = $100;  
  inc(cycles);
  inc(states, 4);
end;</v>
      </c>
      <c r="D190" s="21" t="str">
        <f>"with OpCodes[$"&amp;OpCode!A190&amp;"] do begin" &amp;
" code:= @"&amp;A190&amp;";"&amp;
" inst:= '"&amp;OpCode!B190&amp;"';"&amp;
" fmt:= '"&amp;OpCode!B190&amp;IF(OpCode!C190&lt;&gt;"","'+#9+'"&amp;convertFormat(OpCode!C190),"")&amp;"'"&amp;";"&amp;
" group:= Egroup."&amp;OpCode!D190&amp;";"&amp;
" mode:= Emode."&amp;OpCode!E190&amp;";"&amp;
" len:= "&amp;OpCode!F190&amp;";"&amp;
" cycle:= ["&amp;SUBSTITUTE(OpCode!G190,"|",",")&amp;"];"&amp;
" state:= ["&amp;SUBSTITUTE(OpCode!H190,"|",",")&amp;"];"&amp;
" end;"</f>
        <v>with OpCodes[$BC] do begin code:= @op_CMP_H; inst:= 'CMP'; fmt:= 'CMP'+#9+'H'; group:= Egroup.logic; mode:= Emode.reg; len:= 1; cycle:= [1]; state:= [4]; end;</v>
      </c>
    </row>
    <row r="191" spans="1:4" ht="146.25" x14ac:dyDescent="0.25">
      <c r="A191" s="19" t="str">
        <f>"op"&amp;"_"&amp;OpCode!B191&amp;ConvertFormat2(OpCode!C191)</f>
        <v>op_CMP_L</v>
      </c>
      <c r="B191" s="20" t="str">
        <f t="shared" si="2"/>
        <v>procedure TCPU_8085.op_CMP_L;</v>
      </c>
      <c r="C191" s="21" t="str">
        <f>$B191&amp;CHAR(10)&amp;ConvertCode(OpCode!K191,OpCode!I191,OpCode!G191,OpCode!H191)</f>
        <v>procedure TCPU_8085.op_CMP_L;
begin
  A - L;
  F[EFlags.k]:= ?;
  F[EFlags.v]:= ?;
  F[EFlags.z]:= A = 0;
  F[EFlags.p]:= parity_of_bits[A];
  F[EFlags.s]:= (A and $80) = $80;
  F[EFlags.hc]:= (A and $0F) = $F;  
  F[EFlags.cy]:= (A and $100) = $100;  
  inc(cycles);
  inc(states, 4);
end;</v>
      </c>
      <c r="D191" s="21" t="str">
        <f>"with OpCodes[$"&amp;OpCode!A191&amp;"] do begin" &amp;
" code:= @"&amp;A191&amp;";"&amp;
" inst:= '"&amp;OpCode!B191&amp;"';"&amp;
" fmt:= '"&amp;OpCode!B191&amp;IF(OpCode!C191&lt;&gt;"","'+#9+'"&amp;convertFormat(OpCode!C191),"")&amp;"'"&amp;";"&amp;
" group:= Egroup."&amp;OpCode!D191&amp;";"&amp;
" mode:= Emode."&amp;OpCode!E191&amp;";"&amp;
" len:= "&amp;OpCode!F191&amp;";"&amp;
" cycle:= ["&amp;SUBSTITUTE(OpCode!G191,"|",",")&amp;"];"&amp;
" state:= ["&amp;SUBSTITUTE(OpCode!H191,"|",",")&amp;"];"&amp;
" end;"</f>
        <v>with OpCodes[$BD] do begin code:= @op_CMP_L; inst:= 'CMP'; fmt:= 'CMP'+#9+'L'; group:= Egroup.logic; mode:= Emode.reg; len:= 1; cycle:= [1]; state:= [4]; end;</v>
      </c>
    </row>
    <row r="192" spans="1:4" ht="180" x14ac:dyDescent="0.25">
      <c r="A192" s="19" t="str">
        <f>"op"&amp;"_"&amp;OpCode!B192&amp;ConvertFormat2(OpCode!C192)</f>
        <v>op_CMP_M</v>
      </c>
      <c r="B192" s="20" t="str">
        <f t="shared" si="2"/>
        <v>procedure TCPU_8085.op_CMP_M;</v>
      </c>
      <c r="C192" s="21" t="str">
        <f>$B192&amp;CHAR(10)&amp;ConvertCode(OpCode!K192,OpCode!I192,OpCode!G192,OpCode!H192)</f>
        <v>procedure TCPU_8085.op_CMP_M;
var 
  HL: iSize16;
begin
  HL:= H shl 8 + L;
  A - ReadMem(HL);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192" s="21" t="str">
        <f>"with OpCodes[$"&amp;OpCode!A192&amp;"] do begin" &amp;
" code:= @"&amp;A192&amp;";"&amp;
" inst:= '"&amp;OpCode!B192&amp;"';"&amp;
" fmt:= '"&amp;OpCode!B192&amp;IF(OpCode!C192&lt;&gt;"","'+#9+'"&amp;convertFormat(OpCode!C192),"")&amp;"'"&amp;";"&amp;
" group:= Egroup."&amp;OpCode!D192&amp;";"&amp;
" mode:= Emode."&amp;OpCode!E192&amp;";"&amp;
" len:= "&amp;OpCode!F192&amp;";"&amp;
" cycle:= ["&amp;SUBSTITUTE(OpCode!G192,"|",",")&amp;"];"&amp;
" state:= ["&amp;SUBSTITUTE(OpCode!H192,"|",",")&amp;"];"&amp;
" end;"</f>
        <v>with OpCodes[$BE] do begin code:= @op_CMP_M; inst:= 'CMP'; fmt:= 'CMP'+#9+'M'; group:= Egroup.logic; mode:= Emode.ind_reg; len:= 1; cycle:= [2]; state:= [7]; end;</v>
      </c>
    </row>
    <row r="193" spans="1:4" ht="146.25" x14ac:dyDescent="0.25">
      <c r="A193" s="19" t="str">
        <f>"op"&amp;"_"&amp;OpCode!B193&amp;ConvertFormat2(OpCode!C193)</f>
        <v>op_CMP_A</v>
      </c>
      <c r="B193" s="20" t="str">
        <f t="shared" si="2"/>
        <v>procedure TCPU_8085.op_CMP_A;</v>
      </c>
      <c r="C193" s="21" t="str">
        <f>$B193&amp;CHAR(10)&amp;ConvertCode(OpCode!K193,OpCode!I193,OpCode!G193,OpCode!H193)</f>
        <v>procedure TCPU_8085.op_CMP_A;
begin
  A - A;
  F[EFlags.k]:= ?;
  F[EFlags.v]:= ?;
  F[EFlags.z]:= A = 0;
  F[EFlags.p]:= parity_of_bits[A];
  F[EFlags.s]:= (A and $80) = $80;
  F[EFlags.hc]:= (A and $0F) = $F;  
  F[EFlags.cy]:= (A and $100) = $100;  
  inc(cycles);
  inc(states, 4);
end;</v>
      </c>
      <c r="D193" s="21" t="str">
        <f>"with OpCodes[$"&amp;OpCode!A193&amp;"] do begin" &amp;
" code:= @"&amp;A193&amp;";"&amp;
" inst:= '"&amp;OpCode!B193&amp;"';"&amp;
" fmt:= '"&amp;OpCode!B193&amp;IF(OpCode!C193&lt;&gt;"","'+#9+'"&amp;convertFormat(OpCode!C193),"")&amp;"'"&amp;";"&amp;
" group:= Egroup."&amp;OpCode!D193&amp;";"&amp;
" mode:= Emode."&amp;OpCode!E193&amp;";"&amp;
" len:= "&amp;OpCode!F193&amp;";"&amp;
" cycle:= ["&amp;SUBSTITUTE(OpCode!G193,"|",",")&amp;"];"&amp;
" state:= ["&amp;SUBSTITUTE(OpCode!H193,"|",",")&amp;"];"&amp;
" end;"</f>
        <v>with OpCodes[$BF] do begin code:= @op_CMP_A; inst:= 'CMP'; fmt:= 'CMP'+#9+'A'; group:= Egroup.logic; mode:= Emode.reg; len:= 1; cycle:= [1]; state:= [4]; end;</v>
      </c>
    </row>
    <row r="194" spans="1:4" ht="67.5" x14ac:dyDescent="0.25">
      <c r="A194" s="19" t="str">
        <f>"op"&amp;"_"&amp;OpCode!B194&amp;ConvertFormat2(OpCode!C194)</f>
        <v>op_RNZ</v>
      </c>
      <c r="B194" s="20" t="str">
        <f t="shared" si="2"/>
        <v>procedure TCPU_8085.op_RNZ;</v>
      </c>
      <c r="C194" s="21" t="str">
        <f>$B194&amp;CHAR(10)&amp;ConvertCode(OpCode!K194,OpCode!I194,OpCode!G194,OpCode!H194)</f>
        <v>procedure TCPU_8085.op_RNZ;
begin
  if not Z then RET;
  inc(cycles, 1|3);
  inc(states, 6|12);
end;</v>
      </c>
      <c r="D194" s="21" t="str">
        <f>"with OpCodes[$"&amp;OpCode!A194&amp;"] do begin" &amp;
" code:= @"&amp;A194&amp;";"&amp;
" inst:= '"&amp;OpCode!B194&amp;"';"&amp;
" fmt:= '"&amp;OpCode!B194&amp;IF(OpCode!C194&lt;&gt;"","'+#9+'"&amp;convertFormat(OpCode!C194),"")&amp;"'"&amp;";"&amp;
" group:= Egroup."&amp;OpCode!D194&amp;";"&amp;
" mode:= Emode."&amp;OpCode!E194&amp;";"&amp;
" len:= "&amp;OpCode!F194&amp;";"&amp;
" cycle:= ["&amp;SUBSTITUTE(OpCode!G194,"|",",")&amp;"];"&amp;
" state:= ["&amp;SUBSTITUTE(OpCode!H194,"|",",")&amp;"];"&amp;
" end;"</f>
        <v>with OpCodes[$C0] do begin code:= @op_RNZ; inst:= 'RNZ'; fmt:= 'RNZ'; group:= Egroup.branch; mode:= Emode.abs; len:= 1; cycle:= [1,3]; state:= [6,12]; end;</v>
      </c>
    </row>
    <row r="195" spans="1:4" ht="90" x14ac:dyDescent="0.25">
      <c r="A195" s="19" t="str">
        <f>"op"&amp;"_"&amp;OpCode!B195&amp;ConvertFormat2(OpCode!C195)</f>
        <v>op_POP_B</v>
      </c>
      <c r="B195" s="20" t="str">
        <f t="shared" ref="B195:B257" si="3">"procedure TCPU_8085."&amp;$A195&amp;";"</f>
        <v>procedure TCPU_8085.op_POP_B;</v>
      </c>
      <c r="C195" s="21" t="str">
        <f>$B195&amp;CHAR(10)&amp;ConvertCode(OpCode!K195,OpCode!I195,OpCode!G195,OpCode!H195)</f>
        <v>procedure TCPU_8085.op_POP_B;
begin
  C:= (((SP)) and $FF);
  B:= (((SP + 1)) and $FF);
  SP:= ((SP + 2) and $FFFF);
  inc(cycles, 3);
  inc(states, 10);
end;</v>
      </c>
      <c r="D195" s="21" t="str">
        <f>"with OpCodes[$"&amp;OpCode!A195&amp;"] do begin" &amp;
" code:= @"&amp;A195&amp;";"&amp;
" inst:= '"&amp;OpCode!B195&amp;"';"&amp;
" fmt:= '"&amp;OpCode!B195&amp;IF(OpCode!C195&lt;&gt;"","'+#9+'"&amp;convertFormat(OpCode!C195),"")&amp;"'"&amp;";"&amp;
" group:= Egroup."&amp;OpCode!D195&amp;";"&amp;
" mode:= Emode."&amp;OpCode!E195&amp;";"&amp;
" len:= "&amp;OpCode!F195&amp;";"&amp;
" cycle:= ["&amp;SUBSTITUTE(OpCode!G195,"|",",")&amp;"];"&amp;
" state:= ["&amp;SUBSTITUTE(OpCode!H195,"|",",")&amp;"];"&amp;
" end;"</f>
        <v>with OpCodes[$C1] do begin code:= @op_POP_B; inst:= 'POP'; fmt:= 'POP'+#9+'B'; group:= Egroup.stack; mode:= Emode.reg; len:= 1; cycle:= [3]; state:= [10]; end;</v>
      </c>
    </row>
    <row r="196" spans="1:4" ht="101.25" x14ac:dyDescent="0.25">
      <c r="A196" s="19" t="str">
        <f>"op"&amp;"_"&amp;OpCode!B196&amp;ConvertFormat2(OpCode!C196)</f>
        <v>op_JNZ</v>
      </c>
      <c r="B196" s="20" t="str">
        <f t="shared" si="3"/>
        <v>procedure TCPU_8085.op_JNZ;</v>
      </c>
      <c r="C196" s="21" t="str">
        <f>$B196&amp;CHAR(10)&amp;ConvertCode(OpCode!K196,OpCode!I196,OpCode!G196,OpCode!H196)</f>
        <v>procedure TCPU_8085.op_JNZ;
var 
  adr: iSize16;
begin
  adr:= b2 shl 8 + b1;
  if not Z then PC:= ((adr) and $FF);
  inc(cycles, 2|3);
  inc(states, 7|10);
end;</v>
      </c>
      <c r="D196" s="21" t="str">
        <f>"with OpCodes[$"&amp;OpCode!A196&amp;"] do begin" &amp;
" code:= @"&amp;A196&amp;";"&amp;
" inst:= '"&amp;OpCode!B196&amp;"';"&amp;
" fmt:= '"&amp;OpCode!B196&amp;IF(OpCode!C196&lt;&gt;"","'+#9+'"&amp;convertFormat(OpCode!C196),"")&amp;"'"&amp;";"&amp;
" group:= Egroup."&amp;OpCode!D196&amp;";"&amp;
" mode:= Emode."&amp;OpCode!E196&amp;";"&amp;
" len:= "&amp;OpCode!F196&amp;";"&amp;
" cycle:= ["&amp;SUBSTITUTE(OpCode!G196,"|",",")&amp;"];"&amp;
" state:= ["&amp;SUBSTITUTE(OpCode!H196,"|",",")&amp;"];"&amp;
" end;"</f>
        <v>with OpCodes[$C2] do begin code:= @op_JNZ; inst:= 'JNZ'; fmt:= 'JNZ'+#9+'%.4x'; group:= Egroup.branch; mode:= Emode.abs; len:= 3; cycle:= [2,3]; state:= [7,10]; end;</v>
      </c>
    </row>
    <row r="197" spans="1:4" ht="101.25" x14ac:dyDescent="0.25">
      <c r="A197" s="19" t="str">
        <f>"op"&amp;"_"&amp;OpCode!B197&amp;ConvertFormat2(OpCode!C197)</f>
        <v>op_JMP</v>
      </c>
      <c r="B197" s="20" t="str">
        <f t="shared" si="3"/>
        <v>procedure TCPU_8085.op_JMP;</v>
      </c>
      <c r="C197" s="21" t="str">
        <f>$B197&amp;CHAR(10)&amp;ConvertCode(OpCode!K197,OpCode!I197,OpCode!G197,OpCode!H197)</f>
        <v>procedure TCPU_8085.op_JMP;
var 
  adr: iSize16;
begin
  adr:= b2 shl 8 + b1;
  PC:= ((adr) and $FFFF);
  inc(cycles, 3);
  inc(states, 10);
end;</v>
      </c>
      <c r="D197" s="21" t="str">
        <f>"with OpCodes[$"&amp;OpCode!A197&amp;"] do begin" &amp;
" code:= @"&amp;A197&amp;";"&amp;
" inst:= '"&amp;OpCode!B197&amp;"';"&amp;
" fmt:= '"&amp;OpCode!B197&amp;IF(OpCode!C197&lt;&gt;"","'+#9+'"&amp;convertFormat(OpCode!C197),"")&amp;"'"&amp;";"&amp;
" group:= Egroup."&amp;OpCode!D197&amp;";"&amp;
" mode:= Emode."&amp;OpCode!E197&amp;";"&amp;
" len:= "&amp;OpCode!F197&amp;";"&amp;
" cycle:= ["&amp;SUBSTITUTE(OpCode!G197,"|",",")&amp;"];"&amp;
" state:= ["&amp;SUBSTITUTE(OpCode!H197,"|",",")&amp;"];"&amp;
" end;"</f>
        <v>with OpCodes[$C3] do begin code:= @op_JMP; inst:= 'JMP'; fmt:= 'JMP'+#9+'%.4x'; group:= Egroup.branch; mode:= Emode.abs; len:= 3; cycle:= [3]; state:= [10]; end;</v>
      </c>
    </row>
    <row r="198" spans="1:4" ht="101.25" x14ac:dyDescent="0.25">
      <c r="A198" s="19" t="str">
        <f>"op"&amp;"_"&amp;OpCode!B198&amp;ConvertFormat2(OpCode!C198)</f>
        <v>op_CNZ</v>
      </c>
      <c r="B198" s="20" t="str">
        <f t="shared" si="3"/>
        <v>procedure TCPU_8085.op_CNZ;</v>
      </c>
      <c r="C198" s="21" t="str">
        <f>$B198&amp;CHAR(10)&amp;ConvertCode(OpCode!K198,OpCode!I198,OpCode!G198,OpCode!H198)</f>
        <v>procedure TCPU_8085.op_CNZ;
var 
  adr: iSize16;
begin
  adr:= b2 shl 8 + b1;
  if not Z then CALL adr;
  inc(cycles, 2|5);
  inc(states, 9|18);
end;</v>
      </c>
      <c r="D198" s="21" t="str">
        <f>"with OpCodes[$"&amp;OpCode!A198&amp;"] do begin" &amp;
" code:= @"&amp;A198&amp;";"&amp;
" inst:= '"&amp;OpCode!B198&amp;"';"&amp;
" fmt:= '"&amp;OpCode!B198&amp;IF(OpCode!C198&lt;&gt;"","'+#9+'"&amp;convertFormat(OpCode!C198),"")&amp;"'"&amp;";"&amp;
" group:= Egroup."&amp;OpCode!D198&amp;";"&amp;
" mode:= Emode."&amp;OpCode!E198&amp;";"&amp;
" len:= "&amp;OpCode!F198&amp;";"&amp;
" cycle:= ["&amp;SUBSTITUTE(OpCode!G198,"|",",")&amp;"];"&amp;
" state:= ["&amp;SUBSTITUTE(OpCode!H198,"|",",")&amp;"];"&amp;
" end;"</f>
        <v>with OpCodes[$C4] do begin code:= @op_CNZ; inst:= 'CNZ'; fmt:= 'CNZ'+#9+'%.4x'; group:= Egroup.branch; mode:= Emode.abs; len:= 3; cycle:= [2,5]; state:= [9,18]; end;</v>
      </c>
    </row>
    <row r="199" spans="1:4" ht="90" x14ac:dyDescent="0.25">
      <c r="A199" s="19" t="str">
        <f>"op"&amp;"_"&amp;OpCode!B199&amp;ConvertFormat2(OpCode!C199)</f>
        <v>op_PUSH_B</v>
      </c>
      <c r="B199" s="20" t="str">
        <f t="shared" si="3"/>
        <v>procedure TCPU_8085.op_PUSH_B;</v>
      </c>
      <c r="C199" s="21" t="str">
        <f>$B199&amp;CHAR(10)&amp;ConvertCode(OpCode!K199,OpCode!I199,OpCode!G199,OpCode!H199)</f>
        <v>procedure TCPU_8085.op_PUSH_B;
begin
  (SP - 2):= (C and $FF);
  (SP - 1):= (B and $FF);
  SP:= ((SP - 2) and $FFFF);
  inc(cycles, 3);
  inc(states, 13);
end;</v>
      </c>
      <c r="D199" s="21" t="str">
        <f>"with OpCodes[$"&amp;OpCode!A199&amp;"] do begin" &amp;
" code:= @"&amp;A199&amp;";"&amp;
" inst:= '"&amp;OpCode!B199&amp;"';"&amp;
" fmt:= '"&amp;OpCode!B199&amp;IF(OpCode!C199&lt;&gt;"","'+#9+'"&amp;convertFormat(OpCode!C199),"")&amp;"'"&amp;";"&amp;
" group:= Egroup."&amp;OpCode!D199&amp;";"&amp;
" mode:= Emode."&amp;OpCode!E199&amp;";"&amp;
" len:= "&amp;OpCode!F199&amp;";"&amp;
" cycle:= ["&amp;SUBSTITUTE(OpCode!G199,"|",",")&amp;"];"&amp;
" state:= ["&amp;SUBSTITUTE(OpCode!H199,"|",",")&amp;"];"&amp;
" end;"</f>
        <v>with OpCodes[$C5] do begin code:= @op_PUSH_B; inst:= 'PUSH'; fmt:= 'PUSH'+#9+'B'; group:= Egroup.stack; mode:= Emode.reg; len:= 1; cycle:= [3]; state:= [13]; end;</v>
      </c>
    </row>
    <row r="200" spans="1:4" ht="191.25" x14ac:dyDescent="0.25">
      <c r="A200" s="19" t="str">
        <f>"op"&amp;"_"&amp;OpCode!B200&amp;ConvertFormat2(OpCode!C200)</f>
        <v>op_ADI</v>
      </c>
      <c r="B200" s="20" t="str">
        <f t="shared" si="3"/>
        <v>procedure TCPU_8085.op_ADI;</v>
      </c>
      <c r="C200" s="21" t="str">
        <f>$B200&amp;CHAR(10)&amp;ConvertCode(OpCode!K200,OpCode!I200,OpCode!G200,OpCode!H200)</f>
        <v>procedure TCPU_8085.op_ADI;
var 
  b1: iSize8;
begin
  b1:= ReadMem(PC);
  PC:= (PC+1) and $FFFF;
  A:= ((A + b1) and $FF);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200" s="21" t="str">
        <f>"with OpCodes[$"&amp;OpCode!A200&amp;"] do begin" &amp;
" code:= @"&amp;A200&amp;";"&amp;
" inst:= '"&amp;OpCode!B200&amp;"';"&amp;
" fmt:= '"&amp;OpCode!B200&amp;IF(OpCode!C200&lt;&gt;"","'+#9+'"&amp;convertFormat(OpCode!C200),"")&amp;"'"&amp;";"&amp;
" group:= Egroup."&amp;OpCode!D200&amp;";"&amp;
" mode:= Emode."&amp;OpCode!E200&amp;";"&amp;
" len:= "&amp;OpCode!F200&amp;";"&amp;
" cycle:= ["&amp;SUBSTITUTE(OpCode!G200,"|",",")&amp;"];"&amp;
" state:= ["&amp;SUBSTITUTE(OpCode!H200,"|",",")&amp;"];"&amp;
" end;"</f>
        <v>with OpCodes[$C6] do begin code:= @op_ADI; inst:= 'ADI'; fmt:= 'ADI'+#9+'%.2x'; group:= Egroup.arith; mode:= Emode.imm; len:= 2; cycle:= [2]; state:= [7]; end;</v>
      </c>
    </row>
    <row r="201" spans="1:4" ht="67.5" x14ac:dyDescent="0.25">
      <c r="A201" s="19" t="str">
        <f>"op"&amp;"_"&amp;OpCode!B201&amp;ConvertFormat2(OpCode!C201)</f>
        <v>op_RST_0</v>
      </c>
      <c r="B201" s="20" t="str">
        <f t="shared" si="3"/>
        <v>procedure TCPU_8085.op_RST_0;</v>
      </c>
      <c r="C201" s="21" t="str">
        <f>$B201&amp;CHAR(10)&amp;ConvertCode(OpCode!K201,OpCode!I201,OpCode!G201,OpCode!H201)</f>
        <v>procedure TCPU_8085.op_RST_0;
begin
  CALL $0;
  inc(cycles, 3);
  inc(states, 12);
end;</v>
      </c>
      <c r="D201" s="21" t="str">
        <f>"with OpCodes[$"&amp;OpCode!A201&amp;"] do begin" &amp;
" code:= @"&amp;A201&amp;";"&amp;
" inst:= '"&amp;OpCode!B201&amp;"';"&amp;
" fmt:= '"&amp;OpCode!B201&amp;IF(OpCode!C201&lt;&gt;"","'+#9+'"&amp;convertFormat(OpCode!C201),"")&amp;"'"&amp;";"&amp;
" group:= Egroup."&amp;OpCode!D201&amp;";"&amp;
" mode:= Emode."&amp;OpCode!E201&amp;";"&amp;
" len:= "&amp;OpCode!F201&amp;";"&amp;
" cycle:= ["&amp;SUBSTITUTE(OpCode!G201,"|",",")&amp;"];"&amp;
" state:= ["&amp;SUBSTITUTE(OpCode!H201,"|",",")&amp;"];"&amp;
" end;"</f>
        <v>with OpCodes[$C7] do begin code:= @op_RST_0; inst:= 'RST'; fmt:= 'RST'+#9+'0'; group:= Egroup.branch; mode:= Emode.imp; len:= 1; cycle:= [3]; state:= [12]; end;</v>
      </c>
    </row>
    <row r="202" spans="1:4" ht="67.5" x14ac:dyDescent="0.25">
      <c r="A202" s="19" t="str">
        <f>"op"&amp;"_"&amp;OpCode!B202&amp;ConvertFormat2(OpCode!C202)</f>
        <v>op_RZ</v>
      </c>
      <c r="B202" s="20" t="str">
        <f t="shared" si="3"/>
        <v>procedure TCPU_8085.op_RZ;</v>
      </c>
      <c r="C202" s="21" t="str">
        <f>$B202&amp;CHAR(10)&amp;ConvertCode(OpCode!K202,OpCode!I202,OpCode!G202,OpCode!H202)</f>
        <v>procedure TCPU_8085.op_RZ;
begin
  if Z then RET;
  inc(cycles, 1|3);
  inc(states, 6|12);
end;</v>
      </c>
      <c r="D202" s="21" t="str">
        <f>"with OpCodes[$"&amp;OpCode!A202&amp;"] do begin" &amp;
" code:= @"&amp;A202&amp;";"&amp;
" inst:= '"&amp;OpCode!B202&amp;"';"&amp;
" fmt:= '"&amp;OpCode!B202&amp;IF(OpCode!C202&lt;&gt;"","'+#9+'"&amp;convertFormat(OpCode!C202),"")&amp;"'"&amp;";"&amp;
" group:= Egroup."&amp;OpCode!D202&amp;";"&amp;
" mode:= Emode."&amp;OpCode!E202&amp;";"&amp;
" len:= "&amp;OpCode!F202&amp;";"&amp;
" cycle:= ["&amp;SUBSTITUTE(OpCode!G202,"|",",")&amp;"];"&amp;
" state:= ["&amp;SUBSTITUTE(OpCode!H202,"|",",")&amp;"];"&amp;
" end;"</f>
        <v>with OpCodes[$C8] do begin code:= @op_RZ; inst:= 'RZ'; fmt:= 'RZ'; group:= Egroup.branch; mode:= Emode.abs; len:= 1; cycle:= [1,3]; state:= [6,12]; end;</v>
      </c>
    </row>
    <row r="203" spans="1:4" ht="90" x14ac:dyDescent="0.25">
      <c r="A203" s="19" t="str">
        <f>"op"&amp;"_"&amp;OpCode!B203&amp;ConvertFormat2(OpCode!C203)</f>
        <v>op_RET</v>
      </c>
      <c r="B203" s="20" t="str">
        <f t="shared" si="3"/>
        <v>procedure TCPU_8085.op_RET;</v>
      </c>
      <c r="C203" s="21" t="str">
        <f>$B203&amp;CHAR(10)&amp;ConvertCode(OpCode!K203,OpCode!I203,OpCode!G203,OpCode!H203)</f>
        <v>procedure TCPU_8085.op_RET;
begin
  PC.lo:= (((SP)) and $FF);
  PC.hi:= (((SP + 1)) and $FF);
  SP:= ((SP + 2) and $FFFF);
  inc(cycles, 3);
  inc(states, 10);
end;</v>
      </c>
      <c r="D203" s="21" t="str">
        <f>"with OpCodes[$"&amp;OpCode!A203&amp;"] do begin" &amp;
" code:= @"&amp;A203&amp;";"&amp;
" inst:= '"&amp;OpCode!B203&amp;"';"&amp;
" fmt:= '"&amp;OpCode!B203&amp;IF(OpCode!C203&lt;&gt;"","'+#9+'"&amp;convertFormat(OpCode!C203),"")&amp;"'"&amp;";"&amp;
" group:= Egroup."&amp;OpCode!D203&amp;";"&amp;
" mode:= Emode."&amp;OpCode!E203&amp;";"&amp;
" len:= "&amp;OpCode!F203&amp;";"&amp;
" cycle:= ["&amp;SUBSTITUTE(OpCode!G203,"|",",")&amp;"];"&amp;
" state:= ["&amp;SUBSTITUTE(OpCode!H203,"|",",")&amp;"];"&amp;
" end;"</f>
        <v>with OpCodes[$C9] do begin code:= @op_RET; inst:= 'RET'; fmt:= 'RET'; group:= Egroup.branch; mode:= Emode.imp; len:= 1; cycle:= [3]; state:= [10]; end;</v>
      </c>
    </row>
    <row r="204" spans="1:4" ht="101.25" x14ac:dyDescent="0.25">
      <c r="A204" s="19" t="str">
        <f>"op"&amp;"_"&amp;OpCode!B204&amp;ConvertFormat2(OpCode!C204)</f>
        <v>op_JZ</v>
      </c>
      <c r="B204" s="20" t="str">
        <f t="shared" si="3"/>
        <v>procedure TCPU_8085.op_JZ;</v>
      </c>
      <c r="C204" s="21" t="str">
        <f>$B204&amp;CHAR(10)&amp;ConvertCode(OpCode!K204,OpCode!I204,OpCode!G204,OpCode!H204)</f>
        <v>procedure TCPU_8085.op_JZ;
var 
  adr: iSize16;
begin
  adr:= b2 shl 8 + b1;
  if Z then PC:= ((adr) and $FF);
  inc(cycles, 2|3);
  inc(states, 7|10);
end;</v>
      </c>
      <c r="D204" s="21" t="str">
        <f>"with OpCodes[$"&amp;OpCode!A204&amp;"] do begin" &amp;
" code:= @"&amp;A204&amp;";"&amp;
" inst:= '"&amp;OpCode!B204&amp;"';"&amp;
" fmt:= '"&amp;OpCode!B204&amp;IF(OpCode!C204&lt;&gt;"","'+#9+'"&amp;convertFormat(OpCode!C204),"")&amp;"'"&amp;";"&amp;
" group:= Egroup."&amp;OpCode!D204&amp;";"&amp;
" mode:= Emode."&amp;OpCode!E204&amp;";"&amp;
" len:= "&amp;OpCode!F204&amp;";"&amp;
" cycle:= ["&amp;SUBSTITUTE(OpCode!G204,"|",",")&amp;"];"&amp;
" state:= ["&amp;SUBSTITUTE(OpCode!H204,"|",",")&amp;"];"&amp;
" end;"</f>
        <v>with OpCodes[$CA] do begin code:= @op_JZ; inst:= 'JZ'; fmt:= 'JZ'+#9+'%.4x'; group:= Egroup.branch; mode:= Emode.abs; len:= 3; cycle:= [2,3]; state:= [7,10]; end;</v>
      </c>
    </row>
    <row r="205" spans="1:4" ht="67.5" x14ac:dyDescent="0.25">
      <c r="A205" s="19" t="str">
        <f>"op"&amp;"_"&amp;OpCode!B205&amp;ConvertFormat2(OpCode!C205)</f>
        <v>op_RSTV</v>
      </c>
      <c r="B205" s="20" t="str">
        <f t="shared" si="3"/>
        <v>procedure TCPU_8085.op_RSTV;</v>
      </c>
      <c r="C205" s="21" t="str">
        <f>$B205&amp;CHAR(10)&amp;ConvertCode(OpCode!K205,OpCode!I205,OpCode!G205,OpCode!H205)</f>
        <v>procedure TCPU_8085.op_RSTV;
begin
  Call $0040 if overflag (V) flag is set;
  inc(cycles, 1|3);
  inc(states, 6|12);
end;</v>
      </c>
      <c r="D205" s="21" t="str">
        <f>"with OpCodes[$"&amp;OpCode!A205&amp;"] do begin" &amp;
" code:= @"&amp;A205&amp;";"&amp;
" inst:= '"&amp;OpCode!B205&amp;"';"&amp;
" fmt:= '"&amp;OpCode!B205&amp;IF(OpCode!C205&lt;&gt;"","'+#9+'"&amp;convertFormat(OpCode!C205),"")&amp;"'"&amp;";"&amp;
" group:= Egroup."&amp;OpCode!D205&amp;";"&amp;
" mode:= Emode."&amp;OpCode!E205&amp;";"&amp;
" len:= "&amp;OpCode!F205&amp;";"&amp;
" cycle:= ["&amp;SUBSTITUTE(OpCode!G205,"|",",")&amp;"];"&amp;
" state:= ["&amp;SUBSTITUTE(OpCode!H205,"|",",")&amp;"];"&amp;
" end;"</f>
        <v>with OpCodes[$CB] do begin code:= @op_RSTV; inst:= 'RSTV'; fmt:= 'RSTV'; group:= Egroup.branch; mode:= Emode.abs; len:= 1; cycle:= [1,3]; state:= [6,12]; end;</v>
      </c>
    </row>
    <row r="206" spans="1:4" ht="101.25" x14ac:dyDescent="0.25">
      <c r="A206" s="19" t="str">
        <f>"op"&amp;"_"&amp;OpCode!B206&amp;ConvertFormat2(OpCode!C206)</f>
        <v>op_CZ</v>
      </c>
      <c r="B206" s="20" t="str">
        <f t="shared" si="3"/>
        <v>procedure TCPU_8085.op_CZ;</v>
      </c>
      <c r="C206" s="21" t="str">
        <f>$B206&amp;CHAR(10)&amp;ConvertCode(OpCode!K206,OpCode!I206,OpCode!G206,OpCode!H206)</f>
        <v>procedure TCPU_8085.op_CZ;
var 
  adr: iSize16;
begin
  adr:= b2 shl 8 + b1;
  if Z then CALL adr;
  inc(cycles, 2|5);
  inc(states, 9|18);
end;</v>
      </c>
      <c r="D206" s="21" t="str">
        <f>"with OpCodes[$"&amp;OpCode!A206&amp;"] do begin" &amp;
" code:= @"&amp;A206&amp;";"&amp;
" inst:= '"&amp;OpCode!B206&amp;"';"&amp;
" fmt:= '"&amp;OpCode!B206&amp;IF(OpCode!C206&lt;&gt;"","'+#9+'"&amp;convertFormat(OpCode!C206),"")&amp;"'"&amp;";"&amp;
" group:= Egroup."&amp;OpCode!D206&amp;";"&amp;
" mode:= Emode."&amp;OpCode!E206&amp;";"&amp;
" len:= "&amp;OpCode!F206&amp;";"&amp;
" cycle:= ["&amp;SUBSTITUTE(OpCode!G206,"|",",")&amp;"];"&amp;
" state:= ["&amp;SUBSTITUTE(OpCode!H206,"|",",")&amp;"];"&amp;
" end;"</f>
        <v>with OpCodes[$CC] do begin code:= @op_CZ; inst:= 'CZ'; fmt:= 'CZ'+#9+'%.4x'; group:= Egroup.branch; mode:= Emode.abs; len:= 3; cycle:= [2,5]; state:= [9,18]; end;</v>
      </c>
    </row>
    <row r="207" spans="1:4" ht="135" x14ac:dyDescent="0.25">
      <c r="A207" s="19" t="str">
        <f>"op"&amp;"_"&amp;OpCode!B207&amp;ConvertFormat2(OpCode!C207)</f>
        <v>op_CALL</v>
      </c>
      <c r="B207" s="20" t="str">
        <f t="shared" si="3"/>
        <v>procedure TCPU_8085.op_CALL;</v>
      </c>
      <c r="C207" s="21" t="str">
        <f>$B207&amp;CHAR(10)&amp;ConvertCode(OpCode!K207,OpCode!I207,OpCode!G207,OpCode!H207)</f>
        <v>procedure TCPU_8085.op_CALL;
var 
  adr: iSize16;
begin
  adr:= b2 shl 8 + b1;
  (SP - 1):= ((PC.hi) and $FF);
  (SP - 2):= ((PC.lo) and $FF);
  SP:= ((SP - 2) and $FFFF);
  PC:= ((adr) and $FFFF);
  inc(cycles, 5);
  inc(states, 18);
end;</v>
      </c>
      <c r="D207" s="21" t="str">
        <f>"with OpCodes[$"&amp;OpCode!A207&amp;"] do begin" &amp;
" code:= @"&amp;A207&amp;";"&amp;
" inst:= '"&amp;OpCode!B207&amp;"';"&amp;
" fmt:= '"&amp;OpCode!B207&amp;IF(OpCode!C207&lt;&gt;"","'+#9+'"&amp;convertFormat(OpCode!C207),"")&amp;"'"&amp;";"&amp;
" group:= Egroup."&amp;OpCode!D207&amp;";"&amp;
" mode:= Emode."&amp;OpCode!E207&amp;";"&amp;
" len:= "&amp;OpCode!F207&amp;";"&amp;
" cycle:= ["&amp;SUBSTITUTE(OpCode!G207,"|",",")&amp;"];"&amp;
" state:= ["&amp;SUBSTITUTE(OpCode!H207,"|",",")&amp;"];"&amp;
" end;"</f>
        <v>with OpCodes[$CD] do begin code:= @op_CALL; inst:= 'CALL'; fmt:= 'CALL'+#9+'%.4x'; group:= Egroup.branch; mode:= Emode.abs; len:= 3; cycle:= [5]; state:= [18]; end;</v>
      </c>
    </row>
    <row r="208" spans="1:4" ht="191.25" x14ac:dyDescent="0.25">
      <c r="A208" s="19" t="str">
        <f>"op"&amp;"_"&amp;OpCode!B208&amp;ConvertFormat2(OpCode!C208)</f>
        <v>op_ACI</v>
      </c>
      <c r="B208" s="20" t="str">
        <f t="shared" si="3"/>
        <v>procedure TCPU_8085.op_ACI;</v>
      </c>
      <c r="C208" s="21" t="str">
        <f>$B208&amp;CHAR(10)&amp;ConvertCode(OpCode!K208,OpCode!I208,OpCode!G208,OpCode!H208)</f>
        <v>procedure TCPU_8085.op_ACI;
var 
  b1: iSize8;
begin
  b1:= ReadMem(PC);
  PC:= (PC+1) and $FFFF;
  A:= ((A + b1 + CY) and $FF);
  F[EFlags.k]:= ?;
  F[EFlags.v]:= ?;
  F[EFlags.z]:= A = 0;
  F[EFlags.p]:= parity_of_bits[A];
  F[EFlags.s]:= (A and $80) = $80;
  F[EFlags.hc]:= (A and $0F) = $0;  
  F[EFlags.cy]:= (A and $100) = $100;  
  inc(cycles, 2);
  inc(states, 7);
end;</v>
      </c>
      <c r="D208" s="21" t="str">
        <f>"with OpCodes[$"&amp;OpCode!A208&amp;"] do begin" &amp;
" code:= @"&amp;A208&amp;";"&amp;
" inst:= '"&amp;OpCode!B208&amp;"';"&amp;
" fmt:= '"&amp;OpCode!B208&amp;IF(OpCode!C208&lt;&gt;"","'+#9+'"&amp;convertFormat(OpCode!C208),"")&amp;"'"&amp;";"&amp;
" group:= Egroup."&amp;OpCode!D208&amp;";"&amp;
" mode:= Emode."&amp;OpCode!E208&amp;";"&amp;
" len:= "&amp;OpCode!F208&amp;";"&amp;
" cycle:= ["&amp;SUBSTITUTE(OpCode!G208,"|",",")&amp;"];"&amp;
" state:= ["&amp;SUBSTITUTE(OpCode!H208,"|",",")&amp;"];"&amp;
" end;"</f>
        <v>with OpCodes[$CE] do begin code:= @op_ACI; inst:= 'ACI'; fmt:= 'ACI'+#9+'%.2x'; group:= Egroup.arith; mode:= Emode.imm; len:= 2; cycle:= [2]; state:= [7]; end;</v>
      </c>
    </row>
    <row r="209" spans="1:4" ht="67.5" x14ac:dyDescent="0.25">
      <c r="A209" s="19" t="str">
        <f>"op"&amp;"_"&amp;OpCode!B209&amp;ConvertFormat2(OpCode!C209)</f>
        <v>op_RST_1</v>
      </c>
      <c r="B209" s="20" t="str">
        <f t="shared" si="3"/>
        <v>procedure TCPU_8085.op_RST_1;</v>
      </c>
      <c r="C209" s="21" t="str">
        <f>$B209&amp;CHAR(10)&amp;ConvertCode(OpCode!K209,OpCode!I209,OpCode!G209,OpCode!H209)</f>
        <v>procedure TCPU_8085.op_RST_1;
begin
  CALL $8;
  inc(cycles, 3);
  inc(states, 12);
end;</v>
      </c>
      <c r="D209" s="21" t="str">
        <f>"with OpCodes[$"&amp;OpCode!A209&amp;"] do begin" &amp;
" code:= @"&amp;A209&amp;";"&amp;
" inst:= '"&amp;OpCode!B209&amp;"';"&amp;
" fmt:= '"&amp;OpCode!B209&amp;IF(OpCode!C209&lt;&gt;"","'+#9+'"&amp;convertFormat(OpCode!C209),"")&amp;"'"&amp;";"&amp;
" group:= Egroup."&amp;OpCode!D209&amp;";"&amp;
" mode:= Emode."&amp;OpCode!E209&amp;";"&amp;
" len:= "&amp;OpCode!F209&amp;";"&amp;
" cycle:= ["&amp;SUBSTITUTE(OpCode!G209,"|",",")&amp;"];"&amp;
" state:= ["&amp;SUBSTITUTE(OpCode!H209,"|",",")&amp;"];"&amp;
" end;"</f>
        <v>with OpCodes[$CF] do begin code:= @op_RST_1; inst:= 'RST'; fmt:= 'RST'+#9+'1'; group:= Egroup.branch; mode:= Emode.imp; len:= 1; cycle:= [3]; state:= [12]; end;</v>
      </c>
    </row>
    <row r="210" spans="1:4" ht="67.5" x14ac:dyDescent="0.25">
      <c r="A210" s="19" t="str">
        <f>"op"&amp;"_"&amp;OpCode!B210&amp;ConvertFormat2(OpCode!C210)</f>
        <v>op_RNC</v>
      </c>
      <c r="B210" s="20" t="str">
        <f t="shared" si="3"/>
        <v>procedure TCPU_8085.op_RNC;</v>
      </c>
      <c r="C210" s="21" t="str">
        <f>$B210&amp;CHAR(10)&amp;ConvertCode(OpCode!K210,OpCode!I210,OpCode!G210,OpCode!H210)</f>
        <v>procedure TCPU_8085.op_RNC;
begin
  if not CY then RET;
  inc(cycles, 1|3);
  inc(states, 6|12);
end;</v>
      </c>
      <c r="D210" s="21" t="str">
        <f>"with OpCodes[$"&amp;OpCode!A210&amp;"] do begin" &amp;
" code:= @"&amp;A210&amp;";"&amp;
" inst:= '"&amp;OpCode!B210&amp;"';"&amp;
" fmt:= '"&amp;OpCode!B210&amp;IF(OpCode!C210&lt;&gt;"","'+#9+'"&amp;convertFormat(OpCode!C210),"")&amp;"'"&amp;";"&amp;
" group:= Egroup."&amp;OpCode!D210&amp;";"&amp;
" mode:= Emode."&amp;OpCode!E210&amp;";"&amp;
" len:= "&amp;OpCode!F210&amp;";"&amp;
" cycle:= ["&amp;SUBSTITUTE(OpCode!G210,"|",",")&amp;"];"&amp;
" state:= ["&amp;SUBSTITUTE(OpCode!H210,"|",",")&amp;"];"&amp;
" end;"</f>
        <v>with OpCodes[$D0] do begin code:= @op_RNC; inst:= 'RNC'; fmt:= 'RNC'; group:= Egroup.branch; mode:= Emode.abs; len:= 1; cycle:= [1,3]; state:= [6,12]; end;</v>
      </c>
    </row>
    <row r="211" spans="1:4" ht="90" x14ac:dyDescent="0.25">
      <c r="A211" s="19" t="str">
        <f>"op"&amp;"_"&amp;OpCode!B211&amp;ConvertFormat2(OpCode!C211)</f>
        <v>op_POP_D</v>
      </c>
      <c r="B211" s="20" t="str">
        <f t="shared" si="3"/>
        <v>procedure TCPU_8085.op_POP_D;</v>
      </c>
      <c r="C211" s="21" t="str">
        <f>$B211&amp;CHAR(10)&amp;ConvertCode(OpCode!K211,OpCode!I211,OpCode!G211,OpCode!H211)</f>
        <v>procedure TCPU_8085.op_POP_D;
begin
  E:= (((SP)) and $FF);
  D:= (((SP + 1)) and $FF);
  SP:= ((SP + 2) and $FFFF);
  inc(cycles, 3);
  inc(states, 10);
end;</v>
      </c>
      <c r="D211" s="21" t="str">
        <f>"with OpCodes[$"&amp;OpCode!A211&amp;"] do begin" &amp;
" code:= @"&amp;A211&amp;";"&amp;
" inst:= '"&amp;OpCode!B211&amp;"';"&amp;
" fmt:= '"&amp;OpCode!B211&amp;IF(OpCode!C211&lt;&gt;"","'+#9+'"&amp;convertFormat(OpCode!C211),"")&amp;"'"&amp;";"&amp;
" group:= Egroup."&amp;OpCode!D211&amp;";"&amp;
" mode:= Emode."&amp;OpCode!E211&amp;";"&amp;
" len:= "&amp;OpCode!F211&amp;";"&amp;
" cycle:= ["&amp;SUBSTITUTE(OpCode!G211,"|",",")&amp;"];"&amp;
" state:= ["&amp;SUBSTITUTE(OpCode!H211,"|",",")&amp;"];"&amp;
" end;"</f>
        <v>with OpCodes[$D1] do begin code:= @op_POP_D; inst:= 'POP'; fmt:= 'POP'+#9+'D'; group:= Egroup.stack; mode:= Emode.reg; len:= 1; cycle:= [3]; state:= [10]; end;</v>
      </c>
    </row>
    <row r="212" spans="1:4" ht="101.25" x14ac:dyDescent="0.25">
      <c r="A212" s="19" t="str">
        <f>"op"&amp;"_"&amp;OpCode!B212&amp;ConvertFormat2(OpCode!C212)</f>
        <v>op_JNC</v>
      </c>
      <c r="B212" s="20" t="str">
        <f t="shared" si="3"/>
        <v>procedure TCPU_8085.op_JNC;</v>
      </c>
      <c r="C212" s="21" t="str">
        <f>$B212&amp;CHAR(10)&amp;ConvertCode(OpCode!K212,OpCode!I212,OpCode!G212,OpCode!H212)</f>
        <v>procedure TCPU_8085.op_JNC;
var 
  adr: iSize16;
begin
  adr:= b2 shl 8 + b1;
  if not CY then PC:= ((adr) and $FF);
  inc(cycles, 2|3);
  inc(states, 7|10);
end;</v>
      </c>
      <c r="D212" s="21" t="str">
        <f>"with OpCodes[$"&amp;OpCode!A212&amp;"] do begin" &amp;
" code:= @"&amp;A212&amp;";"&amp;
" inst:= '"&amp;OpCode!B212&amp;"';"&amp;
" fmt:= '"&amp;OpCode!B212&amp;IF(OpCode!C212&lt;&gt;"","'+#9+'"&amp;convertFormat(OpCode!C212),"")&amp;"'"&amp;";"&amp;
" group:= Egroup."&amp;OpCode!D212&amp;";"&amp;
" mode:= Emode."&amp;OpCode!E212&amp;";"&amp;
" len:= "&amp;OpCode!F212&amp;";"&amp;
" cycle:= ["&amp;SUBSTITUTE(OpCode!G212,"|",",")&amp;"];"&amp;
" state:= ["&amp;SUBSTITUTE(OpCode!H212,"|",",")&amp;"];"&amp;
" end;"</f>
        <v>with OpCodes[$D2] do begin code:= @op_JNC; inst:= 'JNC'; fmt:= 'JNC'+#9+'%.4x'; group:= Egroup.branch; mode:= Emode.abs; len:= 3; cycle:= [2,3]; state:= [7,10]; end;</v>
      </c>
    </row>
    <row r="213" spans="1:4" ht="67.5" x14ac:dyDescent="0.25">
      <c r="A213" s="19" t="str">
        <f>"op"&amp;"_"&amp;OpCode!B213&amp;ConvertFormat2(OpCode!C213)</f>
        <v>op_OUT</v>
      </c>
      <c r="B213" s="20" t="str">
        <f t="shared" si="3"/>
        <v>procedure TCPU_8085.op_OUT;</v>
      </c>
      <c r="C213" s="21" t="str">
        <f>$B213&amp;CHAR(10)&amp;ConvertCode(OpCode!K213,OpCode!I213,OpCode!G213,OpCode!H213)</f>
        <v>procedure TCPU_8085.op_OUT;
begin
  Special;
  inc(cycles, 3);
  inc(states, 10);
end;</v>
      </c>
      <c r="D213" s="21" t="str">
        <f>"with OpCodes[$"&amp;OpCode!A213&amp;"] do begin" &amp;
" code:= @"&amp;A213&amp;";"&amp;
" inst:= '"&amp;OpCode!B213&amp;"';"&amp;
" fmt:= '"&amp;OpCode!B213&amp;IF(OpCode!C213&lt;&gt;"","'+#9+'"&amp;convertFormat(OpCode!C213),"")&amp;"'"&amp;";"&amp;
" group:= Egroup."&amp;OpCode!D213&amp;";"&amp;
" mode:= Emode."&amp;OpCode!E213&amp;";"&amp;
" len:= "&amp;OpCode!F213&amp;";"&amp;
" cycle:= ["&amp;SUBSTITUTE(OpCode!G213,"|",",")&amp;"];"&amp;
" state:= ["&amp;SUBSTITUTE(OpCode!H213,"|",",")&amp;"];"&amp;
" end;"</f>
        <v>with OpCodes[$D3] do begin code:= @op_OUT; inst:= 'OUT'; fmt:= 'OUT'+#9+'%.2x'; group:= Egroup.control; mode:= Emode.imm; len:= 2; cycle:= [3]; state:= [10]; end;</v>
      </c>
    </row>
    <row r="214" spans="1:4" ht="101.25" x14ac:dyDescent="0.25">
      <c r="A214" s="19" t="str">
        <f>"op"&amp;"_"&amp;OpCode!B214&amp;ConvertFormat2(OpCode!C214)</f>
        <v>op_CNC</v>
      </c>
      <c r="B214" s="20" t="str">
        <f t="shared" si="3"/>
        <v>procedure TCPU_8085.op_CNC;</v>
      </c>
      <c r="C214" s="21" t="str">
        <f>$B214&amp;CHAR(10)&amp;ConvertCode(OpCode!K214,OpCode!I214,OpCode!G214,OpCode!H214)</f>
        <v>procedure TCPU_8085.op_CNC;
var 
  adr: iSize16;
begin
  adr:= b2 shl 8 + b1;
  if not CY then CALL adr;
  inc(cycles, 2|5);
  inc(states, 9|18);
end;</v>
      </c>
      <c r="D214" s="21" t="str">
        <f>"with OpCodes[$"&amp;OpCode!A214&amp;"] do begin" &amp;
" code:= @"&amp;A214&amp;";"&amp;
" inst:= '"&amp;OpCode!B214&amp;"';"&amp;
" fmt:= '"&amp;OpCode!B214&amp;IF(OpCode!C214&lt;&gt;"","'+#9+'"&amp;convertFormat(OpCode!C214),"")&amp;"'"&amp;";"&amp;
" group:= Egroup."&amp;OpCode!D214&amp;";"&amp;
" mode:= Emode."&amp;OpCode!E214&amp;";"&amp;
" len:= "&amp;OpCode!F214&amp;";"&amp;
" cycle:= ["&amp;SUBSTITUTE(OpCode!G214,"|",",")&amp;"];"&amp;
" state:= ["&amp;SUBSTITUTE(OpCode!H214,"|",",")&amp;"];"&amp;
" end;"</f>
        <v>with OpCodes[$D4] do begin code:= @op_CNC; inst:= 'CNC'; fmt:= 'CNC'+#9+'%.4x'; group:= Egroup.branch; mode:= Emode.abs; len:= 3; cycle:= [2,5]; state:= [9,18]; end;</v>
      </c>
    </row>
    <row r="215" spans="1:4" ht="90" x14ac:dyDescent="0.25">
      <c r="A215" s="19" t="str">
        <f>"op"&amp;"_"&amp;OpCode!B215&amp;ConvertFormat2(OpCode!C215)</f>
        <v>op_PUSH_D</v>
      </c>
      <c r="B215" s="20" t="str">
        <f t="shared" si="3"/>
        <v>procedure TCPU_8085.op_PUSH_D;</v>
      </c>
      <c r="C215" s="21" t="str">
        <f>$B215&amp;CHAR(10)&amp;ConvertCode(OpCode!K215,OpCode!I215,OpCode!G215,OpCode!H215)</f>
        <v>procedure TCPU_8085.op_PUSH_D;
begin
  (SP - 2):= (E and $FF);
  (SP - 1):= (D and $FF);
  SP:= ((SP - 2) and $FFFF);
  inc(cycles, 3);
  inc(states, 13);
end;</v>
      </c>
      <c r="D215" s="21" t="str">
        <f>"with OpCodes[$"&amp;OpCode!A215&amp;"] do begin" &amp;
" code:= @"&amp;A215&amp;";"&amp;
" inst:= '"&amp;OpCode!B215&amp;"';"&amp;
" fmt:= '"&amp;OpCode!B215&amp;IF(OpCode!C215&lt;&gt;"","'+#9+'"&amp;convertFormat(OpCode!C215),"")&amp;"'"&amp;";"&amp;
" group:= Egroup."&amp;OpCode!D215&amp;";"&amp;
" mode:= Emode."&amp;OpCode!E215&amp;";"&amp;
" len:= "&amp;OpCode!F215&amp;";"&amp;
" cycle:= ["&amp;SUBSTITUTE(OpCode!G215,"|",",")&amp;"];"&amp;
" state:= ["&amp;SUBSTITUTE(OpCode!H215,"|",",")&amp;"];"&amp;
" end;"</f>
        <v>with OpCodes[$D5] do begin code:= @op_PUSH_D; inst:= 'PUSH'; fmt:= 'PUSH'+#9+'D'; group:= Egroup.stack; mode:= Emode.reg; len:= 1; cycle:= [3]; state:= [13]; end;</v>
      </c>
    </row>
    <row r="216" spans="1:4" ht="191.25" x14ac:dyDescent="0.25">
      <c r="A216" s="19" t="str">
        <f>"op"&amp;"_"&amp;OpCode!B216&amp;ConvertFormat2(OpCode!C216)</f>
        <v>op_SUI</v>
      </c>
      <c r="B216" s="20" t="str">
        <f t="shared" si="3"/>
        <v>procedure TCPU_8085.op_SUI;</v>
      </c>
      <c r="C216" s="21" t="str">
        <f>$B216&amp;CHAR(10)&amp;ConvertCode(OpCode!K216,OpCode!I216,OpCode!G216,OpCode!H216)</f>
        <v>procedure TCPU_8085.op_SUI;
var 
  b1: iSize8;
begin
  b1:= ReadMem(PC);
  PC:= (PC+1) and $FFFF;
  A:= ((A - b1) and $FF);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216" s="21" t="str">
        <f>"with OpCodes[$"&amp;OpCode!A216&amp;"] do begin" &amp;
" code:= @"&amp;A216&amp;";"&amp;
" inst:= '"&amp;OpCode!B216&amp;"';"&amp;
" fmt:= '"&amp;OpCode!B216&amp;IF(OpCode!C216&lt;&gt;"","'+#9+'"&amp;convertFormat(OpCode!C216),"")&amp;"'"&amp;";"&amp;
" group:= Egroup."&amp;OpCode!D216&amp;";"&amp;
" mode:= Emode."&amp;OpCode!E216&amp;";"&amp;
" len:= "&amp;OpCode!F216&amp;";"&amp;
" cycle:= ["&amp;SUBSTITUTE(OpCode!G216,"|",",")&amp;"];"&amp;
" state:= ["&amp;SUBSTITUTE(OpCode!H216,"|",",")&amp;"];"&amp;
" end;"</f>
        <v>with OpCodes[$D6] do begin code:= @op_SUI; inst:= 'SUI'; fmt:= 'SUI'+#9+'%.2x'; group:= Egroup.arith; mode:= Emode.imm; len:= 2; cycle:= [2]; state:= [7]; end;</v>
      </c>
    </row>
    <row r="217" spans="1:4" ht="67.5" x14ac:dyDescent="0.25">
      <c r="A217" s="19" t="str">
        <f>"op"&amp;"_"&amp;OpCode!B217&amp;ConvertFormat2(OpCode!C217)</f>
        <v>op_RST_2</v>
      </c>
      <c r="B217" s="20" t="str">
        <f t="shared" si="3"/>
        <v>procedure TCPU_8085.op_RST_2;</v>
      </c>
      <c r="C217" s="21" t="str">
        <f>$B217&amp;CHAR(10)&amp;ConvertCode(OpCode!K217,OpCode!I217,OpCode!G217,OpCode!H217)</f>
        <v>procedure TCPU_8085.op_RST_2;
begin
  CALL $10;
  inc(cycles, 3);
  inc(states, 12);
end;</v>
      </c>
      <c r="D217" s="21" t="str">
        <f>"with OpCodes[$"&amp;OpCode!A217&amp;"] do begin" &amp;
" code:= @"&amp;A217&amp;";"&amp;
" inst:= '"&amp;OpCode!B217&amp;"';"&amp;
" fmt:= '"&amp;OpCode!B217&amp;IF(OpCode!C217&lt;&gt;"","'+#9+'"&amp;convertFormat(OpCode!C217),"")&amp;"'"&amp;";"&amp;
" group:= Egroup."&amp;OpCode!D217&amp;";"&amp;
" mode:= Emode."&amp;OpCode!E217&amp;";"&amp;
" len:= "&amp;OpCode!F217&amp;";"&amp;
" cycle:= ["&amp;SUBSTITUTE(OpCode!G217,"|",",")&amp;"];"&amp;
" state:= ["&amp;SUBSTITUTE(OpCode!H217,"|",",")&amp;"];"&amp;
" end;"</f>
        <v>with OpCodes[$D7] do begin code:= @op_RST_2; inst:= 'RST'; fmt:= 'RST'+#9+'2'; group:= Egroup.branch; mode:= Emode.imp; len:= 1; cycle:= [3]; state:= [12]; end;</v>
      </c>
    </row>
    <row r="218" spans="1:4" ht="67.5" x14ac:dyDescent="0.25">
      <c r="A218" s="19" t="str">
        <f>"op"&amp;"_"&amp;OpCode!B218&amp;ConvertFormat2(OpCode!C218)</f>
        <v>op_RC</v>
      </c>
      <c r="B218" s="20" t="str">
        <f t="shared" si="3"/>
        <v>procedure TCPU_8085.op_RC;</v>
      </c>
      <c r="C218" s="21" t="str">
        <f>$B218&amp;CHAR(10)&amp;ConvertCode(OpCode!K218,OpCode!I218,OpCode!G218,OpCode!H218)</f>
        <v>procedure TCPU_8085.op_RC;
begin
  if CY then RET;
  inc(cycles, 1|3);
  inc(states, 6|12);
end;</v>
      </c>
      <c r="D218" s="21" t="str">
        <f>"with OpCodes[$"&amp;OpCode!A218&amp;"] do begin" &amp;
" code:= @"&amp;A218&amp;";"&amp;
" inst:= '"&amp;OpCode!B218&amp;"';"&amp;
" fmt:= '"&amp;OpCode!B218&amp;IF(OpCode!C218&lt;&gt;"","'+#9+'"&amp;convertFormat(OpCode!C218),"")&amp;"'"&amp;";"&amp;
" group:= Egroup."&amp;OpCode!D218&amp;";"&amp;
" mode:= Emode."&amp;OpCode!E218&amp;";"&amp;
" len:= "&amp;OpCode!F218&amp;";"&amp;
" cycle:= ["&amp;SUBSTITUTE(OpCode!G218,"|",",")&amp;"];"&amp;
" state:= ["&amp;SUBSTITUTE(OpCode!H218,"|",",")&amp;"];"&amp;
" end;"</f>
        <v>with OpCodes[$D8] do begin code:= @op_RC; inst:= 'RC'; fmt:= 'RC'; group:= Egroup.branch; mode:= Emode.abs; len:= 1; cycle:= [1,3]; state:= [6,12]; end;</v>
      </c>
    </row>
    <row r="219" spans="1:4" ht="112.5" x14ac:dyDescent="0.25">
      <c r="A219" s="19" t="str">
        <f>"op"&amp;"_"&amp;OpCode!B219&amp;ConvertFormat2(OpCode!C219)</f>
        <v>op_SHLX</v>
      </c>
      <c r="B219" s="20" t="str">
        <f t="shared" si="3"/>
        <v>procedure TCPU_8085.op_SHLX;</v>
      </c>
      <c r="C219" s="21" t="str">
        <f>$B219&amp;CHAR(10)&amp;ConvertCode(OpCode!K219,OpCode!I219,OpCode!G219,OpCode!H219)</f>
        <v>procedure TCPU_8085.op_SHLX;
var 
  DE: iSize16;
begin
  DE:= D shl 8 + E;
  WriteMem(DE, L);
  (DE + 1):= (H and $FF);
  inc(cycles, 3);
  inc(states, 10);
end;</v>
      </c>
      <c r="D219" s="21" t="str">
        <f>"with OpCodes[$"&amp;OpCode!A219&amp;"] do begin" &amp;
" code:= @"&amp;A219&amp;";"&amp;
" inst:= '"&amp;OpCode!B219&amp;"';"&amp;
" fmt:= '"&amp;OpCode!B219&amp;IF(OpCode!C219&lt;&gt;"","'+#9+'"&amp;convertFormat(OpCode!C219),"")&amp;"'"&amp;";"&amp;
" group:= Egroup."&amp;OpCode!D219&amp;";"&amp;
" mode:= Emode."&amp;OpCode!E219&amp;";"&amp;
" len:= "&amp;OpCode!F219&amp;";"&amp;
" cycle:= ["&amp;SUBSTITUTE(OpCode!G219,"|",",")&amp;"];"&amp;
" state:= ["&amp;SUBSTITUTE(OpCode!H219,"|",",")&amp;"];"&amp;
" end;"</f>
        <v>with OpCodes[$D9] do begin code:= @op_SHLX; inst:= 'SHLX'; fmt:= 'SHLX'; group:= Egroup.data; mode:= Emode.ind_reg; len:= 1; cycle:= [3]; state:= [10]; end;</v>
      </c>
    </row>
    <row r="220" spans="1:4" ht="101.25" x14ac:dyDescent="0.25">
      <c r="A220" s="19" t="str">
        <f>"op"&amp;"_"&amp;OpCode!B220&amp;ConvertFormat2(OpCode!C220)</f>
        <v>op_JC</v>
      </c>
      <c r="B220" s="20" t="str">
        <f t="shared" si="3"/>
        <v>procedure TCPU_8085.op_JC;</v>
      </c>
      <c r="C220" s="21" t="str">
        <f>$B220&amp;CHAR(10)&amp;ConvertCode(OpCode!K220,OpCode!I220,OpCode!G220,OpCode!H220)</f>
        <v>procedure TCPU_8085.op_JC;
var 
  adr: iSize16;
begin
  adr:= b2 shl 8 + b1;
  if CY then PC:= ((adr) and $FF);
  inc(cycles, 2|3);
  inc(states, 7|10);
end;</v>
      </c>
      <c r="D220" s="21" t="str">
        <f>"with OpCodes[$"&amp;OpCode!A220&amp;"] do begin" &amp;
" code:= @"&amp;A220&amp;";"&amp;
" inst:= '"&amp;OpCode!B220&amp;"';"&amp;
" fmt:= '"&amp;OpCode!B220&amp;IF(OpCode!C220&lt;&gt;"","'+#9+'"&amp;convertFormat(OpCode!C220),"")&amp;"'"&amp;";"&amp;
" group:= Egroup."&amp;OpCode!D220&amp;";"&amp;
" mode:= Emode."&amp;OpCode!E220&amp;";"&amp;
" len:= "&amp;OpCode!F220&amp;";"&amp;
" cycle:= ["&amp;SUBSTITUTE(OpCode!G220,"|",",")&amp;"];"&amp;
" state:= ["&amp;SUBSTITUTE(OpCode!H220,"|",",")&amp;"];"&amp;
" end;"</f>
        <v>with OpCodes[$DA] do begin code:= @op_JC; inst:= 'JC'; fmt:= 'JC'+#9+'%.4x'; group:= Egroup.branch; mode:= Emode.abs; len:= 3; cycle:= [2,3]; state:= [7,10]; end;</v>
      </c>
    </row>
    <row r="221" spans="1:4" ht="67.5" x14ac:dyDescent="0.25">
      <c r="A221" s="19" t="str">
        <f>"op"&amp;"_"&amp;OpCode!B221&amp;ConvertFormat2(OpCode!C221)</f>
        <v>op_IN</v>
      </c>
      <c r="B221" s="20" t="str">
        <f t="shared" si="3"/>
        <v>procedure TCPU_8085.op_IN;</v>
      </c>
      <c r="C221" s="21" t="str">
        <f>$B221&amp;CHAR(10)&amp;ConvertCode(OpCode!K221,OpCode!I221,OpCode!G221,OpCode!H221)</f>
        <v>procedure TCPU_8085.op_IN;
begin
  Special;
  inc(cycles, 3);
  inc(states, 10);
end;</v>
      </c>
      <c r="D221" s="21" t="str">
        <f>"with OpCodes[$"&amp;OpCode!A221&amp;"] do begin" &amp;
" code:= @"&amp;A221&amp;";"&amp;
" inst:= '"&amp;OpCode!B221&amp;"';"&amp;
" fmt:= '"&amp;OpCode!B221&amp;IF(OpCode!C221&lt;&gt;"","'+#9+'"&amp;convertFormat(OpCode!C221),"")&amp;"'"&amp;";"&amp;
" group:= Egroup."&amp;OpCode!D221&amp;";"&amp;
" mode:= Emode."&amp;OpCode!E221&amp;";"&amp;
" len:= "&amp;OpCode!F221&amp;";"&amp;
" cycle:= ["&amp;SUBSTITUTE(OpCode!G221,"|",",")&amp;"];"&amp;
" state:= ["&amp;SUBSTITUTE(OpCode!H221,"|",",")&amp;"];"&amp;
" end;"</f>
        <v>with OpCodes[$DB] do begin code:= @op_IN; inst:= 'IN'; fmt:= 'IN'+#9+'%.2x'; group:= Egroup.control; mode:= Emode.imm; len:= 2; cycle:= [3]; state:= [10]; end;</v>
      </c>
    </row>
    <row r="222" spans="1:4" ht="101.25" x14ac:dyDescent="0.25">
      <c r="A222" s="19" t="str">
        <f>"op"&amp;"_"&amp;OpCode!B222&amp;ConvertFormat2(OpCode!C222)</f>
        <v>op_CC</v>
      </c>
      <c r="B222" s="20" t="str">
        <f t="shared" si="3"/>
        <v>procedure TCPU_8085.op_CC;</v>
      </c>
      <c r="C222" s="21" t="str">
        <f>$B222&amp;CHAR(10)&amp;ConvertCode(OpCode!K222,OpCode!I222,OpCode!G222,OpCode!H222)</f>
        <v>procedure TCPU_8085.op_CC;
var 
  adr: iSize16;
begin
  adr:= b2 shl 8 + b1;
  if CY then CALL adr;
  inc(cycles, 2|5);
  inc(states, 9|18);
end;</v>
      </c>
      <c r="D222" s="21" t="str">
        <f>"with OpCodes[$"&amp;OpCode!A222&amp;"] do begin" &amp;
" code:= @"&amp;A222&amp;";"&amp;
" inst:= '"&amp;OpCode!B222&amp;"';"&amp;
" fmt:= '"&amp;OpCode!B222&amp;IF(OpCode!C222&lt;&gt;"","'+#9+'"&amp;convertFormat(OpCode!C222),"")&amp;"'"&amp;";"&amp;
" group:= Egroup."&amp;OpCode!D222&amp;";"&amp;
" mode:= Emode."&amp;OpCode!E222&amp;";"&amp;
" len:= "&amp;OpCode!F222&amp;";"&amp;
" cycle:= ["&amp;SUBSTITUTE(OpCode!G222,"|",",")&amp;"];"&amp;
" state:= ["&amp;SUBSTITUTE(OpCode!H222,"|",",")&amp;"];"&amp;
" end;"</f>
        <v>with OpCodes[$DC] do begin code:= @op_CC; inst:= 'CC'; fmt:= 'CC'+#9+'%.4x'; group:= Egroup.branch; mode:= Emode.abs; len:= 3; cycle:= [2,5]; state:= [9,18]; end;</v>
      </c>
    </row>
    <row r="223" spans="1:4" ht="101.25" x14ac:dyDescent="0.25">
      <c r="A223" s="19" t="str">
        <f>"op"&amp;"_"&amp;OpCode!B223&amp;ConvertFormat2(OpCode!C223)</f>
        <v>op_JNK</v>
      </c>
      <c r="B223" s="20" t="str">
        <f t="shared" si="3"/>
        <v>procedure TCPU_8085.op_JNK;</v>
      </c>
      <c r="C223" s="21" t="str">
        <f>$B223&amp;CHAR(10)&amp;ConvertCode(OpCode!K223,OpCode!I223,OpCode!G223,OpCode!H223)</f>
        <v>procedure TCPU_8085.op_JNK;
var 
  adr: iSize16;
begin
  adr:= b2 shl 8 + b1;
  if not K then PC:= ((adr) and $FF);
  inc(cycles, 2|3);
  inc(states, 7|10);
end;</v>
      </c>
      <c r="D223" s="21" t="str">
        <f>"with OpCodes[$"&amp;OpCode!A223&amp;"] do begin" &amp;
" code:= @"&amp;A223&amp;";"&amp;
" inst:= '"&amp;OpCode!B223&amp;"';"&amp;
" fmt:= '"&amp;OpCode!B223&amp;IF(OpCode!C223&lt;&gt;"","'+#9+'"&amp;convertFormat(OpCode!C223),"")&amp;"'"&amp;";"&amp;
" group:= Egroup."&amp;OpCode!D223&amp;";"&amp;
" mode:= Emode."&amp;OpCode!E223&amp;";"&amp;
" len:= "&amp;OpCode!F223&amp;";"&amp;
" cycle:= ["&amp;SUBSTITUTE(OpCode!G223,"|",",")&amp;"];"&amp;
" state:= ["&amp;SUBSTITUTE(OpCode!H223,"|",",")&amp;"];"&amp;
" end;"</f>
        <v>with OpCodes[$DD] do begin code:= @op_JNK; inst:= 'JNK'; fmt:= 'JNK'+#9+'%.4x'; group:= Egroup.branch; mode:= Emode.abs; len:= 3; cycle:= [2,3]; state:= [7,10]; end;</v>
      </c>
    </row>
    <row r="224" spans="1:4" ht="191.25" x14ac:dyDescent="0.25">
      <c r="A224" s="19" t="str">
        <f>"op"&amp;"_"&amp;OpCode!B224&amp;ConvertFormat2(OpCode!C224)</f>
        <v>op_SBI</v>
      </c>
      <c r="B224" s="20" t="str">
        <f t="shared" si="3"/>
        <v>procedure TCPU_8085.op_SBI;</v>
      </c>
      <c r="C224" s="21" t="str">
        <f>$B224&amp;CHAR(10)&amp;ConvertCode(OpCode!K224,OpCode!I224,OpCode!G224,OpCode!H224)</f>
        <v>procedure TCPU_8085.op_SBI;
var 
  b1: iSize8;
begin
  b1:= ReadMem(PC);
  PC:= (PC+1) and $FFFF;
  A:= ((A - b1 - CY) and $FF);
  F[EFlags.k]:= ?;
  F[EFlags.v]:= ?;
  F[EFlags.z]:= A = 0;
  F[EFlags.p]:= parity_of_bits[A];
  F[EFlags.s]:= (A and $80) = $80;
  F[EFlags.hc]:= (A and $0F) = $F;  
  F[EFlags.cy]:= (A and $100) = $100;  
  inc(cycles, 2);
  inc(states, 7);
end;</v>
      </c>
      <c r="D224" s="21" t="str">
        <f>"with OpCodes[$"&amp;OpCode!A224&amp;"] do begin" &amp;
" code:= @"&amp;A224&amp;";"&amp;
" inst:= '"&amp;OpCode!B224&amp;"';"&amp;
" fmt:= '"&amp;OpCode!B224&amp;IF(OpCode!C224&lt;&gt;"","'+#9+'"&amp;convertFormat(OpCode!C224),"")&amp;"'"&amp;";"&amp;
" group:= Egroup."&amp;OpCode!D224&amp;";"&amp;
" mode:= Emode."&amp;OpCode!E224&amp;";"&amp;
" len:= "&amp;OpCode!F224&amp;";"&amp;
" cycle:= ["&amp;SUBSTITUTE(OpCode!G224,"|",",")&amp;"];"&amp;
" state:= ["&amp;SUBSTITUTE(OpCode!H224,"|",",")&amp;"];"&amp;
" end;"</f>
        <v>with OpCodes[$DE] do begin code:= @op_SBI; inst:= 'SBI'; fmt:= 'SBI'+#9+'%.2x'; group:= Egroup.arith; mode:= Emode.imm; len:= 2; cycle:= [2]; state:= [7]; end;</v>
      </c>
    </row>
    <row r="225" spans="1:4" ht="67.5" x14ac:dyDescent="0.25">
      <c r="A225" s="19" t="str">
        <f>"op"&amp;"_"&amp;OpCode!B225&amp;ConvertFormat2(OpCode!C225)</f>
        <v>op_RST_3</v>
      </c>
      <c r="B225" s="20" t="str">
        <f t="shared" si="3"/>
        <v>procedure TCPU_8085.op_RST_3;</v>
      </c>
      <c r="C225" s="21" t="str">
        <f>$B225&amp;CHAR(10)&amp;ConvertCode(OpCode!K225,OpCode!I225,OpCode!G225,OpCode!H225)</f>
        <v>procedure TCPU_8085.op_RST_3;
begin
  CALL $18;
  inc(cycles, 3);
  inc(states, 12);
end;</v>
      </c>
      <c r="D225" s="21" t="str">
        <f>"with OpCodes[$"&amp;OpCode!A225&amp;"] do begin" &amp;
" code:= @"&amp;A225&amp;";"&amp;
" inst:= '"&amp;OpCode!B225&amp;"';"&amp;
" fmt:= '"&amp;OpCode!B225&amp;IF(OpCode!C225&lt;&gt;"","'+#9+'"&amp;convertFormat(OpCode!C225),"")&amp;"'"&amp;";"&amp;
" group:= Egroup."&amp;OpCode!D225&amp;";"&amp;
" mode:= Emode."&amp;OpCode!E225&amp;";"&amp;
" len:= "&amp;OpCode!F225&amp;";"&amp;
" cycle:= ["&amp;SUBSTITUTE(OpCode!G225,"|",",")&amp;"];"&amp;
" state:= ["&amp;SUBSTITUTE(OpCode!H225,"|",",")&amp;"];"&amp;
" end;"</f>
        <v>with OpCodes[$DF] do begin code:= @op_RST_3; inst:= 'RST'; fmt:= 'RST'+#9+'3'; group:= Egroup.branch; mode:= Emode.imp; len:= 1; cycle:= [3]; state:= [12]; end;</v>
      </c>
    </row>
    <row r="226" spans="1:4" ht="67.5" x14ac:dyDescent="0.25">
      <c r="A226" s="19" t="str">
        <f>"op"&amp;"_"&amp;OpCode!B226&amp;ConvertFormat2(OpCode!C226)</f>
        <v>op_RPO</v>
      </c>
      <c r="B226" s="20" t="str">
        <f t="shared" si="3"/>
        <v>procedure TCPU_8085.op_RPO;</v>
      </c>
      <c r="C226" s="21" t="str">
        <f>$B226&amp;CHAR(10)&amp;ConvertCode(OpCode!K226,OpCode!I226,OpCode!G226,OpCode!H226)</f>
        <v>procedure TCPU_8085.op_RPO;
begin
  if PO then RET;
  inc(cycles, 1|3);
  inc(states, 6|12);
end;</v>
      </c>
      <c r="D226" s="21" t="str">
        <f>"with OpCodes[$"&amp;OpCode!A226&amp;"] do begin" &amp;
" code:= @"&amp;A226&amp;";"&amp;
" inst:= '"&amp;OpCode!B226&amp;"';"&amp;
" fmt:= '"&amp;OpCode!B226&amp;IF(OpCode!C226&lt;&gt;"","'+#9+'"&amp;convertFormat(OpCode!C226),"")&amp;"'"&amp;";"&amp;
" group:= Egroup."&amp;OpCode!D226&amp;";"&amp;
" mode:= Emode."&amp;OpCode!E226&amp;";"&amp;
" len:= "&amp;OpCode!F226&amp;";"&amp;
" cycle:= ["&amp;SUBSTITUTE(OpCode!G226,"|",",")&amp;"];"&amp;
" state:= ["&amp;SUBSTITUTE(OpCode!H226,"|",",")&amp;"];"&amp;
" end;"</f>
        <v>with OpCodes[$E0] do begin code:= @op_RPO; inst:= 'RPO'; fmt:= 'RPO'; group:= Egroup.branch; mode:= Emode.abs; len:= 1; cycle:= [1,3]; state:= [6,12]; end;</v>
      </c>
    </row>
    <row r="227" spans="1:4" ht="90" x14ac:dyDescent="0.25">
      <c r="A227" s="19" t="str">
        <f>"op"&amp;"_"&amp;OpCode!B227&amp;ConvertFormat2(OpCode!C227)</f>
        <v>op_POP_H</v>
      </c>
      <c r="B227" s="20" t="str">
        <f t="shared" si="3"/>
        <v>procedure TCPU_8085.op_POP_H;</v>
      </c>
      <c r="C227" s="21" t="str">
        <f>$B227&amp;CHAR(10)&amp;ConvertCode(OpCode!K227,OpCode!I227,OpCode!G227,OpCode!H227)</f>
        <v>procedure TCPU_8085.op_POP_H;
begin
  L:= (((SP)) and $FF);
  H:= (((SP + 1)) and $FF);
  SP:= ((SP + 2) and $FFFF);
  inc(cycles, 3);
  inc(states, 10);
end;</v>
      </c>
      <c r="D227" s="21" t="str">
        <f>"with OpCodes[$"&amp;OpCode!A227&amp;"] do begin" &amp;
" code:= @"&amp;A227&amp;";"&amp;
" inst:= '"&amp;OpCode!B227&amp;"';"&amp;
" fmt:= '"&amp;OpCode!B227&amp;IF(OpCode!C227&lt;&gt;"","'+#9+'"&amp;convertFormat(OpCode!C227),"")&amp;"'"&amp;";"&amp;
" group:= Egroup."&amp;OpCode!D227&amp;";"&amp;
" mode:= Emode."&amp;OpCode!E227&amp;";"&amp;
" len:= "&amp;OpCode!F227&amp;";"&amp;
" cycle:= ["&amp;SUBSTITUTE(OpCode!G227,"|",",")&amp;"];"&amp;
" state:= ["&amp;SUBSTITUTE(OpCode!H227,"|",",")&amp;"];"&amp;
" end;"</f>
        <v>with OpCodes[$E1] do begin code:= @op_POP_H; inst:= 'POP'; fmt:= 'POP'+#9+'H'; group:= Egroup.stack; mode:= Emode.reg; len:= 1; cycle:= [3]; state:= [10]; end;</v>
      </c>
    </row>
    <row r="228" spans="1:4" ht="101.25" x14ac:dyDescent="0.25">
      <c r="A228" s="19" t="str">
        <f>"op"&amp;"_"&amp;OpCode!B228&amp;ConvertFormat2(OpCode!C228)</f>
        <v>op_JPO</v>
      </c>
      <c r="B228" s="20" t="str">
        <f t="shared" si="3"/>
        <v>procedure TCPU_8085.op_JPO;</v>
      </c>
      <c r="C228" s="21" t="str">
        <f>$B228&amp;CHAR(10)&amp;ConvertCode(OpCode!K228,OpCode!I228,OpCode!G228,OpCode!H228)</f>
        <v>procedure TCPU_8085.op_JPO;
var 
  adr: iSize16;
begin
  adr:= b2 shl 8 + b1;
  if PO then PC:= ((adr) and $FF);
  inc(cycles, 2|3);
  inc(states, 7|10);
end;</v>
      </c>
      <c r="D228" s="21" t="str">
        <f>"with OpCodes[$"&amp;OpCode!A228&amp;"] do begin" &amp;
" code:= @"&amp;A228&amp;";"&amp;
" inst:= '"&amp;OpCode!B228&amp;"';"&amp;
" fmt:= '"&amp;OpCode!B228&amp;IF(OpCode!C228&lt;&gt;"","'+#9+'"&amp;convertFormat(OpCode!C228),"")&amp;"'"&amp;";"&amp;
" group:= Egroup."&amp;OpCode!D228&amp;";"&amp;
" mode:= Emode."&amp;OpCode!E228&amp;";"&amp;
" len:= "&amp;OpCode!F228&amp;";"&amp;
" cycle:= ["&amp;SUBSTITUTE(OpCode!G228,"|",",")&amp;"];"&amp;
" state:= ["&amp;SUBSTITUTE(OpCode!H228,"|",",")&amp;"];"&amp;
" end;"</f>
        <v>with OpCodes[$E2] do begin code:= @op_JPO; inst:= 'JPO'; fmt:= 'JPO'+#9+'%.4x'; group:= Egroup.branch; mode:= Emode.abs; len:= 3; cycle:= [2,3]; state:= [7,10]; end;</v>
      </c>
    </row>
    <row r="229" spans="1:4" ht="78.75" x14ac:dyDescent="0.25">
      <c r="A229" s="19" t="str">
        <f>"op"&amp;"_"&amp;OpCode!B229&amp;ConvertFormat2(OpCode!C229)</f>
        <v>op_XTHL</v>
      </c>
      <c r="B229" s="20" t="str">
        <f t="shared" si="3"/>
        <v>procedure TCPU_8085.op_XTHL;</v>
      </c>
      <c r="C229" s="21" t="str">
        <f>$B229&amp;CHAR(10)&amp;ConvertCode(OpCode!K229,OpCode!I229,OpCode!G229,OpCode!H229)</f>
        <v>procedure TCPU_8085.op_XTHL;
begin
  L:= ((&gt; (SP)) and $FF);
  H:= ((&gt; (SP + 1)) and $FF);
  inc(cycles, 5);
  inc(states, 16);
end;</v>
      </c>
      <c r="D229" s="21" t="str">
        <f>"with OpCodes[$"&amp;OpCode!A229&amp;"] do begin" &amp;
" code:= @"&amp;A229&amp;";"&amp;
" inst:= '"&amp;OpCode!B229&amp;"';"&amp;
" fmt:= '"&amp;OpCode!B229&amp;IF(OpCode!C229&lt;&gt;"","'+#9+'"&amp;convertFormat(OpCode!C229),"")&amp;"'"&amp;";"&amp;
" group:= Egroup."&amp;OpCode!D229&amp;";"&amp;
" mode:= Emode."&amp;OpCode!E229&amp;";"&amp;
" len:= "&amp;OpCode!F229&amp;";"&amp;
" cycle:= ["&amp;SUBSTITUTE(OpCode!G229,"|",",")&amp;"];"&amp;
" state:= ["&amp;SUBSTITUTE(OpCode!H229,"|",",")&amp;"];"&amp;
" end;"</f>
        <v>with OpCodes[$E3] do begin code:= @op_XTHL; inst:= 'XTHL'; fmt:= 'XTHL'; group:= Egroup.stack; mode:= Emode.imp; len:= 1; cycle:= [5]; state:= [16]; end;</v>
      </c>
    </row>
    <row r="230" spans="1:4" ht="101.25" x14ac:dyDescent="0.25">
      <c r="A230" s="19" t="str">
        <f>"op"&amp;"_"&amp;OpCode!B230&amp;ConvertFormat2(OpCode!C230)</f>
        <v>op_CPO</v>
      </c>
      <c r="B230" s="20" t="str">
        <f t="shared" si="3"/>
        <v>procedure TCPU_8085.op_CPO;</v>
      </c>
      <c r="C230" s="21" t="str">
        <f>$B230&amp;CHAR(10)&amp;ConvertCode(OpCode!K230,OpCode!I230,OpCode!G230,OpCode!H230)</f>
        <v>procedure TCPU_8085.op_CPO;
var 
  adr: iSize16;
begin
  adr:= b2 shl 8 + b1;
  if PO then CALL adr;
  inc(cycles, 2|5);
  inc(states, 9|18);
end;</v>
      </c>
      <c r="D230" s="21" t="str">
        <f>"with OpCodes[$"&amp;OpCode!A230&amp;"] do begin" &amp;
" code:= @"&amp;A230&amp;";"&amp;
" inst:= '"&amp;OpCode!B230&amp;"';"&amp;
" fmt:= '"&amp;OpCode!B230&amp;IF(OpCode!C230&lt;&gt;"","'+#9+'"&amp;convertFormat(OpCode!C230),"")&amp;"'"&amp;";"&amp;
" group:= Egroup."&amp;OpCode!D230&amp;";"&amp;
" mode:= Emode."&amp;OpCode!E230&amp;";"&amp;
" len:= "&amp;OpCode!F230&amp;";"&amp;
" cycle:= ["&amp;SUBSTITUTE(OpCode!G230,"|",",")&amp;"];"&amp;
" state:= ["&amp;SUBSTITUTE(OpCode!H230,"|",",")&amp;"];"&amp;
" end;"</f>
        <v>with OpCodes[$E4] do begin code:= @op_CPO; inst:= 'CPO'; fmt:= 'CPO'+#9+'%.4x'; group:= Egroup.branch; mode:= Emode.abs; len:= 3; cycle:= [2,5]; state:= [9,18]; end;</v>
      </c>
    </row>
    <row r="231" spans="1:4" ht="90" x14ac:dyDescent="0.25">
      <c r="A231" s="19" t="str">
        <f>"op"&amp;"_"&amp;OpCode!B231&amp;ConvertFormat2(OpCode!C231)</f>
        <v>op_PUSH_H</v>
      </c>
      <c r="B231" s="20" t="str">
        <f t="shared" si="3"/>
        <v>procedure TCPU_8085.op_PUSH_H;</v>
      </c>
      <c r="C231" s="21" t="str">
        <f>$B231&amp;CHAR(10)&amp;ConvertCode(OpCode!K231,OpCode!I231,OpCode!G231,OpCode!H231)</f>
        <v>procedure TCPU_8085.op_PUSH_H;
begin
  (SP - 2):= (L and $FF);
  (SP - 1):= (H and $FF);
  SP:= ((SP - 2) and $FFFF);
  inc(cycles, 3);
  inc(states, 13);
end;</v>
      </c>
      <c r="D231" s="21" t="str">
        <f>"with OpCodes[$"&amp;OpCode!A231&amp;"] do begin" &amp;
" code:= @"&amp;A231&amp;";"&amp;
" inst:= '"&amp;OpCode!B231&amp;"';"&amp;
" fmt:= '"&amp;OpCode!B231&amp;IF(OpCode!C231&lt;&gt;"","'+#9+'"&amp;convertFormat(OpCode!C231),"")&amp;"'"&amp;";"&amp;
" group:= Egroup."&amp;OpCode!D231&amp;";"&amp;
" mode:= Emode."&amp;OpCode!E231&amp;";"&amp;
" len:= "&amp;OpCode!F231&amp;";"&amp;
" cycle:= ["&amp;SUBSTITUTE(OpCode!G231,"|",",")&amp;"];"&amp;
" state:= ["&amp;SUBSTITUTE(OpCode!H231,"|",",")&amp;"];"&amp;
" end;"</f>
        <v>with OpCodes[$E5] do begin code:= @op_PUSH_H; inst:= 'PUSH'; fmt:= 'PUSH'+#9+'H'; group:= Egroup.stack; mode:= Emode.reg; len:= 1; cycle:= [3]; state:= [13]; end;</v>
      </c>
    </row>
    <row r="232" spans="1:4" ht="191.25" x14ac:dyDescent="0.25">
      <c r="A232" s="19" t="str">
        <f>"op"&amp;"_"&amp;OpCode!B232&amp;ConvertFormat2(OpCode!C232)</f>
        <v>op_ANI</v>
      </c>
      <c r="B232" s="20" t="str">
        <f t="shared" si="3"/>
        <v>procedure TCPU_8085.op_ANI;</v>
      </c>
      <c r="C232" s="21" t="str">
        <f>$B232&amp;CHAR(10)&amp;ConvertCode(OpCode!K232,OpCode!I232,OpCode!G232,OpCode!H232)</f>
        <v>procedure TCPU_8085.op_ANI;
var 
  b1: iSize8;
begin
  b1:= ReadMem(PC);
  PC:= (PC+1) and $FFFF;
  A:= ((A and b1) and $FF);
  F[EFlags.k]:= ?;
  F[EFlags.z]:= A = 0;
  F[EFlags.p]:= parity_of_bits[A];
  F[EFlags.s]:= (A and $80) = $80;
  F[EFlags.v]:= false;
  F[EFlags.cy]:= false;
  F[EFlags.hc]:= true;
  inc(cycles, 2);
  inc(states, 7);
end;</v>
      </c>
      <c r="D232" s="21" t="str">
        <f>"with OpCodes[$"&amp;OpCode!A232&amp;"] do begin" &amp;
" code:= @"&amp;A232&amp;";"&amp;
" inst:= '"&amp;OpCode!B232&amp;"';"&amp;
" fmt:= '"&amp;OpCode!B232&amp;IF(OpCode!C232&lt;&gt;"","'+#9+'"&amp;convertFormat(OpCode!C232),"")&amp;"'"&amp;";"&amp;
" group:= Egroup."&amp;OpCode!D232&amp;";"&amp;
" mode:= Emode."&amp;OpCode!E232&amp;";"&amp;
" len:= "&amp;OpCode!F232&amp;";"&amp;
" cycle:= ["&amp;SUBSTITUTE(OpCode!G232,"|",",")&amp;"];"&amp;
" state:= ["&amp;SUBSTITUTE(OpCode!H232,"|",",")&amp;"];"&amp;
" end;"</f>
        <v>with OpCodes[$E6] do begin code:= @op_ANI; inst:= 'ANI'; fmt:= 'ANI'+#9+'%.2x'; group:= Egroup.logic; mode:= Emode.imm; len:= 2; cycle:= [2]; state:= [7]; end;</v>
      </c>
    </row>
    <row r="233" spans="1:4" ht="67.5" x14ac:dyDescent="0.25">
      <c r="A233" s="19" t="str">
        <f>"op"&amp;"_"&amp;OpCode!B233&amp;ConvertFormat2(OpCode!C233)</f>
        <v>op_RST_4</v>
      </c>
      <c r="B233" s="20" t="str">
        <f t="shared" si="3"/>
        <v>procedure TCPU_8085.op_RST_4;</v>
      </c>
      <c r="C233" s="21" t="str">
        <f>$B233&amp;CHAR(10)&amp;ConvertCode(OpCode!K233,OpCode!I233,OpCode!G233,OpCode!H233)</f>
        <v>procedure TCPU_8085.op_RST_4;
begin
  CALL $20;
  inc(cycles, 3);
  inc(states, 12);
end;</v>
      </c>
      <c r="D233" s="21" t="str">
        <f>"with OpCodes[$"&amp;OpCode!A233&amp;"] do begin" &amp;
" code:= @"&amp;A233&amp;";"&amp;
" inst:= '"&amp;OpCode!B233&amp;"';"&amp;
" fmt:= '"&amp;OpCode!B233&amp;IF(OpCode!C233&lt;&gt;"","'+#9+'"&amp;convertFormat(OpCode!C233),"")&amp;"'"&amp;";"&amp;
" group:= Egroup."&amp;OpCode!D233&amp;";"&amp;
" mode:= Emode."&amp;OpCode!E233&amp;";"&amp;
" len:= "&amp;OpCode!F233&amp;";"&amp;
" cycle:= ["&amp;SUBSTITUTE(OpCode!G233,"|",",")&amp;"];"&amp;
" state:= ["&amp;SUBSTITUTE(OpCode!H233,"|",",")&amp;"];"&amp;
" end;"</f>
        <v>with OpCodes[$E7] do begin code:= @op_RST_4; inst:= 'RST'; fmt:= 'RST'+#9+'4'; group:= Egroup.branch; mode:= Emode.imp; len:= 1; cycle:= [3]; state:= [12]; end;</v>
      </c>
    </row>
    <row r="234" spans="1:4" ht="67.5" x14ac:dyDescent="0.25">
      <c r="A234" s="19" t="str">
        <f>"op"&amp;"_"&amp;OpCode!B234&amp;ConvertFormat2(OpCode!C234)</f>
        <v>op_RPE</v>
      </c>
      <c r="B234" s="20" t="str">
        <f t="shared" si="3"/>
        <v>procedure TCPU_8085.op_RPE;</v>
      </c>
      <c r="C234" s="21" t="str">
        <f>$B234&amp;CHAR(10)&amp;ConvertCode(OpCode!K234,OpCode!I234,OpCode!G234,OpCode!H234)</f>
        <v>procedure TCPU_8085.op_RPE;
begin
  if PE then RET;
  inc(cycles, 1|3);
  inc(states, 6|12);
end;</v>
      </c>
      <c r="D234" s="21" t="str">
        <f>"with OpCodes[$"&amp;OpCode!A234&amp;"] do begin" &amp;
" code:= @"&amp;A234&amp;";"&amp;
" inst:= '"&amp;OpCode!B234&amp;"';"&amp;
" fmt:= '"&amp;OpCode!B234&amp;IF(OpCode!C234&lt;&gt;"","'+#9+'"&amp;convertFormat(OpCode!C234),"")&amp;"'"&amp;";"&amp;
" group:= Egroup."&amp;OpCode!D234&amp;";"&amp;
" mode:= Emode."&amp;OpCode!E234&amp;";"&amp;
" len:= "&amp;OpCode!F234&amp;";"&amp;
" cycle:= ["&amp;SUBSTITUTE(OpCode!G234,"|",",")&amp;"];"&amp;
" state:= ["&amp;SUBSTITUTE(OpCode!H234,"|",",")&amp;"];"&amp;
" end;"</f>
        <v>with OpCodes[$E8] do begin code:= @op_RPE; inst:= 'RPE'; fmt:= 'RPE'; group:= Egroup.branch; mode:= Emode.abs; len:= 1; cycle:= [1,3]; state:= [6,12]; end;</v>
      </c>
    </row>
    <row r="235" spans="1:4" ht="101.25" x14ac:dyDescent="0.25">
      <c r="A235" s="19" t="str">
        <f>"op"&amp;"_"&amp;OpCode!B235&amp;ConvertFormat2(OpCode!C235)</f>
        <v>op_PCHL</v>
      </c>
      <c r="B235" s="20" t="str">
        <f t="shared" si="3"/>
        <v>procedure TCPU_8085.op_PCHL;</v>
      </c>
      <c r="C235" s="21" t="str">
        <f>$B235&amp;CHAR(10)&amp;ConvertCode(OpCode!K235,OpCode!I235,OpCode!G235,OpCode!H235)</f>
        <v>procedure TCPU_8085.op_PCHL;
var 
  HL: iSize16;
begin
  HL:= H shl 8 + L;
  PC:= ((HL) and $FFFF);
  inc(cycles);
  inc(states, 6);
end;</v>
      </c>
      <c r="D235" s="21" t="str">
        <f>"with OpCodes[$"&amp;OpCode!A235&amp;"] do begin" &amp;
" code:= @"&amp;A235&amp;";"&amp;
" inst:= '"&amp;OpCode!B235&amp;"';"&amp;
" fmt:= '"&amp;OpCode!B235&amp;IF(OpCode!C235&lt;&gt;"","'+#9+'"&amp;convertFormat(OpCode!C235),"")&amp;"'"&amp;";"&amp;
" group:= Egroup."&amp;OpCode!D235&amp;";"&amp;
" mode:= Emode."&amp;OpCode!E235&amp;";"&amp;
" len:= "&amp;OpCode!F235&amp;";"&amp;
" cycle:= ["&amp;SUBSTITUTE(OpCode!G235,"|",",")&amp;"];"&amp;
" state:= ["&amp;SUBSTITUTE(OpCode!H235,"|",",")&amp;"];"&amp;
" end;"</f>
        <v>with OpCodes[$E9] do begin code:= @op_PCHL; inst:= 'PCHL'; fmt:= 'PCHL'; group:= Egroup.branch; mode:= Emode.imp; len:= 1; cycle:= [1]; state:= [6]; end;</v>
      </c>
    </row>
    <row r="236" spans="1:4" ht="101.25" x14ac:dyDescent="0.25">
      <c r="A236" s="19" t="str">
        <f>"op"&amp;"_"&amp;OpCode!B236&amp;ConvertFormat2(OpCode!C236)</f>
        <v>op_JPE</v>
      </c>
      <c r="B236" s="20" t="str">
        <f t="shared" si="3"/>
        <v>procedure TCPU_8085.op_JPE;</v>
      </c>
      <c r="C236" s="21" t="str">
        <f>$B236&amp;CHAR(10)&amp;ConvertCode(OpCode!K236,OpCode!I236,OpCode!G236,OpCode!H236)</f>
        <v>procedure TCPU_8085.op_JPE;
var 
  adr: iSize16;
begin
  adr:= b2 shl 8 + b1;
  if PE then PC:= ((adr) and $FF);
  inc(cycles, 2|3);
  inc(states, 7|10);
end;</v>
      </c>
      <c r="D236" s="21" t="str">
        <f>"with OpCodes[$"&amp;OpCode!A236&amp;"] do begin" &amp;
" code:= @"&amp;A236&amp;";"&amp;
" inst:= '"&amp;OpCode!B236&amp;"';"&amp;
" fmt:= '"&amp;OpCode!B236&amp;IF(OpCode!C236&lt;&gt;"","'+#9+'"&amp;convertFormat(OpCode!C236),"")&amp;"'"&amp;";"&amp;
" group:= Egroup."&amp;OpCode!D236&amp;";"&amp;
" mode:= Emode."&amp;OpCode!E236&amp;";"&amp;
" len:= "&amp;OpCode!F236&amp;";"&amp;
" cycle:= ["&amp;SUBSTITUTE(OpCode!G236,"|",",")&amp;"];"&amp;
" state:= ["&amp;SUBSTITUTE(OpCode!H236,"|",",")&amp;"];"&amp;
" end;"</f>
        <v>with OpCodes[$EA] do begin code:= @op_JPE; inst:= 'JPE'; fmt:= 'JPE'+#9+'%.4x'; group:= Egroup.branch; mode:= Emode.abs; len:= 3; cycle:= [2,3]; state:= [7,10]; end;</v>
      </c>
    </row>
    <row r="237" spans="1:4" ht="78.75" x14ac:dyDescent="0.25">
      <c r="A237" s="19" t="str">
        <f>"op"&amp;"_"&amp;OpCode!B237&amp;ConvertFormat2(OpCode!C237)</f>
        <v>op_XCHG</v>
      </c>
      <c r="B237" s="20" t="str">
        <f t="shared" si="3"/>
        <v>procedure TCPU_8085.op_XCHG;</v>
      </c>
      <c r="C237" s="21" t="str">
        <f>$B237&amp;CHAR(10)&amp;ConvertCode(OpCode!K237,OpCode!I237,OpCode!G237,OpCode!H237)</f>
        <v>procedure TCPU_8085.op_XCHG;
begin
  H:= ((&gt; D) and $FF);
  L:= ((&gt; E) and $FF);
  inc(cycles);
  inc(states, 4);
end;</v>
      </c>
      <c r="D237" s="21" t="str">
        <f>"with OpCodes[$"&amp;OpCode!A237&amp;"] do begin" &amp;
" code:= @"&amp;A237&amp;";"&amp;
" inst:= '"&amp;OpCode!B237&amp;"';"&amp;
" fmt:= '"&amp;OpCode!B237&amp;IF(OpCode!C237&lt;&gt;"","'+#9+'"&amp;convertFormat(OpCode!C237),"")&amp;"'"&amp;";"&amp;
" group:= Egroup."&amp;OpCode!D237&amp;";"&amp;
" mode:= Emode."&amp;OpCode!E237&amp;";"&amp;
" len:= "&amp;OpCode!F237&amp;";"&amp;
" cycle:= ["&amp;SUBSTITUTE(OpCode!G237,"|",",")&amp;"];"&amp;
" state:= ["&amp;SUBSTITUTE(OpCode!H237,"|",",")&amp;"];"&amp;
" end;"</f>
        <v>with OpCodes[$EB] do begin code:= @op_XCHG; inst:= 'XCHG'; fmt:= 'XCHG'; group:= Egroup.data; mode:= Emode.reg; len:= 1; cycle:= [1]; state:= [4]; end;</v>
      </c>
    </row>
    <row r="238" spans="1:4" ht="101.25" x14ac:dyDescent="0.25">
      <c r="A238" s="19" t="str">
        <f>"op"&amp;"_"&amp;OpCode!B238&amp;ConvertFormat2(OpCode!C238)</f>
        <v>op_CPE</v>
      </c>
      <c r="B238" s="20" t="str">
        <f t="shared" si="3"/>
        <v>procedure TCPU_8085.op_CPE;</v>
      </c>
      <c r="C238" s="21" t="str">
        <f>$B238&amp;CHAR(10)&amp;ConvertCode(OpCode!K238,OpCode!I238,OpCode!G238,OpCode!H238)</f>
        <v>procedure TCPU_8085.op_CPE;
var 
  adr: iSize16;
begin
  adr:= b2 shl 8 + b1;
  if PE then CALL adr;
  inc(cycles, 2|5);
  inc(states, 9|18);
end;</v>
      </c>
      <c r="D238" s="21" t="str">
        <f>"with OpCodes[$"&amp;OpCode!A238&amp;"] do begin" &amp;
" code:= @"&amp;A238&amp;";"&amp;
" inst:= '"&amp;OpCode!B238&amp;"';"&amp;
" fmt:= '"&amp;OpCode!B238&amp;IF(OpCode!C238&lt;&gt;"","'+#9+'"&amp;convertFormat(OpCode!C238),"")&amp;"'"&amp;";"&amp;
" group:= Egroup."&amp;OpCode!D238&amp;";"&amp;
" mode:= Emode."&amp;OpCode!E238&amp;";"&amp;
" len:= "&amp;OpCode!F238&amp;";"&amp;
" cycle:= ["&amp;SUBSTITUTE(OpCode!G238,"|",",")&amp;"];"&amp;
" state:= ["&amp;SUBSTITUTE(OpCode!H238,"|",",")&amp;"];"&amp;
" end;"</f>
        <v>with OpCodes[$EC] do begin code:= @op_CPE; inst:= 'CPE'; fmt:= 'CPE'+#9+'%.4x'; group:= Egroup.branch; mode:= Emode.abs; len:= 3; cycle:= [2,5]; state:= [9,18]; end;</v>
      </c>
    </row>
    <row r="239" spans="1:4" ht="112.5" x14ac:dyDescent="0.25">
      <c r="A239" s="19" t="str">
        <f>"op"&amp;"_"&amp;OpCode!B239&amp;ConvertFormat2(OpCode!C239)</f>
        <v>op_LHLX</v>
      </c>
      <c r="B239" s="20" t="str">
        <f t="shared" si="3"/>
        <v>procedure TCPU_8085.op_LHLX;</v>
      </c>
      <c r="C239" s="21" t="str">
        <f>$B239&amp;CHAR(10)&amp;ConvertCode(OpCode!K239,OpCode!I239,OpCode!G239,OpCode!H239)</f>
        <v>procedure TCPU_8085.op_LHLX;
var 
  DE: iSize16;
begin
  DE:= D shl 8 + E;
  L:= ReadMem(DE);
  H:= (DE + 1);
  inc(cycles, 3);
  inc(states, 10);
end;</v>
      </c>
      <c r="D239" s="21" t="str">
        <f>"with OpCodes[$"&amp;OpCode!A239&amp;"] do begin" &amp;
" code:= @"&amp;A239&amp;";"&amp;
" inst:= '"&amp;OpCode!B239&amp;"';"&amp;
" fmt:= '"&amp;OpCode!B239&amp;IF(OpCode!C239&lt;&gt;"","'+#9+'"&amp;convertFormat(OpCode!C239),"")&amp;"'"&amp;";"&amp;
" group:= Egroup."&amp;OpCode!D239&amp;";"&amp;
" mode:= Emode."&amp;OpCode!E239&amp;";"&amp;
" len:= "&amp;OpCode!F239&amp;";"&amp;
" cycle:= ["&amp;SUBSTITUTE(OpCode!G239,"|",",")&amp;"];"&amp;
" state:= ["&amp;SUBSTITUTE(OpCode!H239,"|",",")&amp;"];"&amp;
" end;"</f>
        <v>with OpCodes[$ED] do begin code:= @op_LHLX; inst:= 'LHLX'; fmt:= 'LHLX'; group:= Egroup.data; mode:= Emode.ind_reg; len:= 1; cycle:= [3]; state:= [10]; end;</v>
      </c>
    </row>
    <row r="240" spans="1:4" ht="180" x14ac:dyDescent="0.25">
      <c r="A240" s="19" t="str">
        <f>"op"&amp;"_"&amp;OpCode!B240&amp;ConvertFormat2(OpCode!C240)</f>
        <v>op_XRI</v>
      </c>
      <c r="B240" s="20" t="str">
        <f t="shared" si="3"/>
        <v>procedure TCPU_8085.op_XRI;</v>
      </c>
      <c r="C240" s="21" t="str">
        <f>$B240&amp;CHAR(10)&amp;ConvertCode(OpCode!K240,OpCode!I240,OpCode!G240,OpCode!H240)</f>
        <v>procedure TCPU_8085.op_XRI;
var 
  b1: iSize8;
begin
  b1:= ReadMem(PC);
  PC:= (PC+1) and $FFFF;
  A:= ((A xor b1) and $FF);
  F[EFlags.k]:= ?;
  F[EFlags.z]:= A = 0;
  F[EFlags.p]:= parity_of_bits[A];
  F[EFlags.s]:= (A and $80) = $80;
  F[EFlags.hc]:= false;
  F[EFlags.cy]:= false;
  inc(cycles, 2);
  inc(states, 7);
end;</v>
      </c>
      <c r="D240" s="21" t="str">
        <f>"with OpCodes[$"&amp;OpCode!A240&amp;"] do begin" &amp;
" code:= @"&amp;A240&amp;";"&amp;
" inst:= '"&amp;OpCode!B240&amp;"';"&amp;
" fmt:= '"&amp;OpCode!B240&amp;IF(OpCode!C240&lt;&gt;"","'+#9+'"&amp;convertFormat(OpCode!C240),"")&amp;"'"&amp;";"&amp;
" group:= Egroup."&amp;OpCode!D240&amp;";"&amp;
" mode:= Emode."&amp;OpCode!E240&amp;";"&amp;
" len:= "&amp;OpCode!F240&amp;";"&amp;
" cycle:= ["&amp;SUBSTITUTE(OpCode!G240,"|",",")&amp;"];"&amp;
" state:= ["&amp;SUBSTITUTE(OpCode!H240,"|",",")&amp;"];"&amp;
" end;"</f>
        <v>with OpCodes[$EE] do begin code:= @op_XRI; inst:= 'XRI'; fmt:= 'XRI'+#9+'%.2x'; group:= Egroup.logic; mode:= Emode.imm; len:= 2; cycle:= [2]; state:= [7]; end;</v>
      </c>
    </row>
    <row r="241" spans="1:4" ht="67.5" x14ac:dyDescent="0.25">
      <c r="A241" s="19" t="str">
        <f>"op"&amp;"_"&amp;OpCode!B241&amp;ConvertFormat2(OpCode!C241)</f>
        <v>op_RST_5</v>
      </c>
      <c r="B241" s="20" t="str">
        <f t="shared" si="3"/>
        <v>procedure TCPU_8085.op_RST_5;</v>
      </c>
      <c r="C241" s="21" t="str">
        <f>$B241&amp;CHAR(10)&amp;ConvertCode(OpCode!K241,OpCode!I241,OpCode!G241,OpCode!H241)</f>
        <v>procedure TCPU_8085.op_RST_5;
begin
  CALL $28;
  inc(cycles, 3);
  inc(states, 12);
end;</v>
      </c>
      <c r="D241" s="21" t="str">
        <f>"with OpCodes[$"&amp;OpCode!A241&amp;"] do begin" &amp;
" code:= @"&amp;A241&amp;";"&amp;
" inst:= '"&amp;OpCode!B241&amp;"';"&amp;
" fmt:= '"&amp;OpCode!B241&amp;IF(OpCode!C241&lt;&gt;"","'+#9+'"&amp;convertFormat(OpCode!C241),"")&amp;"'"&amp;";"&amp;
" group:= Egroup."&amp;OpCode!D241&amp;";"&amp;
" mode:= Emode."&amp;OpCode!E241&amp;";"&amp;
" len:= "&amp;OpCode!F241&amp;";"&amp;
" cycle:= ["&amp;SUBSTITUTE(OpCode!G241,"|",",")&amp;"];"&amp;
" state:= ["&amp;SUBSTITUTE(OpCode!H241,"|",",")&amp;"];"&amp;
" end;"</f>
        <v>with OpCodes[$EF] do begin code:= @op_RST_5; inst:= 'RST'; fmt:= 'RST'+#9+'5'; group:= Egroup.branch; mode:= Emode.imp; len:= 1; cycle:= [3]; state:= [12]; end;</v>
      </c>
    </row>
    <row r="242" spans="1:4" ht="67.5" x14ac:dyDescent="0.25">
      <c r="A242" s="19" t="str">
        <f>"op"&amp;"_"&amp;OpCode!B242&amp;ConvertFormat2(OpCode!C242)</f>
        <v>op_RP</v>
      </c>
      <c r="B242" s="20" t="str">
        <f t="shared" si="3"/>
        <v>procedure TCPU_8085.op_RP;</v>
      </c>
      <c r="C242" s="21" t="str">
        <f>$B242&amp;CHAR(10)&amp;ConvertCode(OpCode!K242,OpCode!I242,OpCode!G242,OpCode!H242)</f>
        <v>procedure TCPU_8085.op_RP;
begin
  if P then RET;
  inc(cycles, 1|3);
  inc(states, 6|12);
end;</v>
      </c>
      <c r="D242" s="21" t="str">
        <f>"with OpCodes[$"&amp;OpCode!A242&amp;"] do begin" &amp;
" code:= @"&amp;A242&amp;";"&amp;
" inst:= '"&amp;OpCode!B242&amp;"';"&amp;
" fmt:= '"&amp;OpCode!B242&amp;IF(OpCode!C242&lt;&gt;"","'+#9+'"&amp;convertFormat(OpCode!C242),"")&amp;"'"&amp;";"&amp;
" group:= Egroup."&amp;OpCode!D242&amp;";"&amp;
" mode:= Emode."&amp;OpCode!E242&amp;";"&amp;
" len:= "&amp;OpCode!F242&amp;";"&amp;
" cycle:= ["&amp;SUBSTITUTE(OpCode!G242,"|",",")&amp;"];"&amp;
" state:= ["&amp;SUBSTITUTE(OpCode!H242,"|",",")&amp;"];"&amp;
" end;"</f>
        <v>with OpCodes[$F0] do begin code:= @op_RP; inst:= 'RP'; fmt:= 'RP'; group:= Egroup.branch; mode:= Emode.abs; len:= 1; cycle:= [1,3]; state:= [6,12]; end;</v>
      </c>
    </row>
    <row r="243" spans="1:4" ht="168.75" x14ac:dyDescent="0.25">
      <c r="A243" s="19" t="str">
        <f>"op"&amp;"_"&amp;OpCode!B243&amp;ConvertFormat2(OpCode!C243)</f>
        <v>op_POP_PSW</v>
      </c>
      <c r="B243" s="20" t="str">
        <f t="shared" si="3"/>
        <v>procedure TCPU_8085.op_POP_PSW;</v>
      </c>
      <c r="C243" s="21" t="str">
        <f>$B243&amp;CHAR(10)&amp;ConvertCode(OpCode!K243,OpCode!I243,OpCode!G243,OpCode!H243)</f>
        <v>procedure TCPU_8085.op_POP_PSW;
begin
  flags:= (((SP)) and $FF);
  A:= (((SP + 1)) and $FF);
  SP:= ((SP + 2) and $FFFF);
  F[EFlags.k]:= ?;
  F[EFlags.v]:= ?;
  F[EFlags.z]:= SP = 0;
  F[EFlags.p]:= parity_of_bits[SP];
  F[EFlags.s]:= (SP and $80) = $80;
  F[EFlags.hc]:= (SP and $0F) = $0;  
  F[EFlags.cy]:= (SP and $100) = $100;  
  inc(cycles, );
  inc(states, );
end;</v>
      </c>
      <c r="D243" s="21" t="str">
        <f>"with OpCodes[$"&amp;OpCode!A243&amp;"] do begin" &amp;
" code:= @"&amp;A243&amp;";"&amp;
" inst:= '"&amp;OpCode!B243&amp;"';"&amp;
" fmt:= '"&amp;OpCode!B243&amp;IF(OpCode!C243&lt;&gt;"","'+#9+'"&amp;convertFormat(OpCode!C243),"")&amp;"'"&amp;";"&amp;
" group:= Egroup."&amp;OpCode!D243&amp;";"&amp;
" mode:= Emode."&amp;OpCode!E243&amp;";"&amp;
" len:= "&amp;OpCode!F243&amp;";"&amp;
" cycle:= ["&amp;SUBSTITUTE(OpCode!G243,"|",",")&amp;"];"&amp;
" state:= ["&amp;SUBSTITUTE(OpCode!H243,"|",",")&amp;"];"&amp;
" end;"</f>
        <v>with OpCodes[$F1] do begin code:= @op_POP_PSW; inst:= 'POP'; fmt:= 'POP'+#9+'PSW'; group:= Egroup.stack; mode:= Emode.reg; len:= 1; cycle:= []; state:= []; end;</v>
      </c>
    </row>
    <row r="244" spans="1:4" ht="101.25" x14ac:dyDescent="0.25">
      <c r="A244" s="19" t="str">
        <f>"op"&amp;"_"&amp;OpCode!B244&amp;ConvertFormat2(OpCode!C244)</f>
        <v>op_JP</v>
      </c>
      <c r="B244" s="20" t="str">
        <f t="shared" si="3"/>
        <v>procedure TCPU_8085.op_JP;</v>
      </c>
      <c r="C244" s="21" t="str">
        <f>$B244&amp;CHAR(10)&amp;ConvertCode(OpCode!K244,OpCode!I244,OpCode!G244,OpCode!H244)</f>
        <v>procedure TCPU_8085.op_JP;
var 
  adr: iSize16;
begin
  adr:= b2 shl 8 + b1;
  if P then PC:= ((adr) and $FF);
  inc(cycles, 2|3);
  inc(states, 7|10);
end;</v>
      </c>
      <c r="D244" s="21" t="str">
        <f>"with OpCodes[$"&amp;OpCode!A244&amp;"] do begin" &amp;
" code:= @"&amp;A244&amp;";"&amp;
" inst:= '"&amp;OpCode!B244&amp;"';"&amp;
" fmt:= '"&amp;OpCode!B244&amp;IF(OpCode!C244&lt;&gt;"","'+#9+'"&amp;convertFormat(OpCode!C244),"")&amp;"'"&amp;";"&amp;
" group:= Egroup."&amp;OpCode!D244&amp;";"&amp;
" mode:= Emode."&amp;OpCode!E244&amp;";"&amp;
" len:= "&amp;OpCode!F244&amp;";"&amp;
" cycle:= ["&amp;SUBSTITUTE(OpCode!G244,"|",",")&amp;"];"&amp;
" state:= ["&amp;SUBSTITUTE(OpCode!H244,"|",",")&amp;"];"&amp;
" end;"</f>
        <v>with OpCodes[$F2] do begin code:= @op_JP; inst:= 'JP'; fmt:= 'JP'+#9+'%.4x'; group:= Egroup.branch; mode:= Emode.abs; len:= 3; cycle:= [2,3]; state:= [7,10]; end;</v>
      </c>
    </row>
    <row r="245" spans="1:4" ht="67.5" x14ac:dyDescent="0.25">
      <c r="A245" s="19" t="str">
        <f>"op"&amp;"_"&amp;OpCode!B245&amp;ConvertFormat2(OpCode!C245)</f>
        <v>op_DI</v>
      </c>
      <c r="B245" s="20" t="str">
        <f t="shared" si="3"/>
        <v>procedure TCPU_8085.op_DI;</v>
      </c>
      <c r="C245" s="21" t="str">
        <f>$B245&amp;CHAR(10)&amp;ConvertCode(OpCode!K245,OpCode!I245,OpCode!G245,OpCode!H245)</f>
        <v>procedure TCPU_8085.op_DI;
begin
  Special;
  inc(cycles, );
  inc(states, );
end;</v>
      </c>
      <c r="D245" s="21" t="str">
        <f>"with OpCodes[$"&amp;OpCode!A245&amp;"] do begin" &amp;
" code:= @"&amp;A245&amp;";"&amp;
" inst:= '"&amp;OpCode!B245&amp;"';"&amp;
" fmt:= '"&amp;OpCode!B245&amp;IF(OpCode!C245&lt;&gt;"","'+#9+'"&amp;convertFormat(OpCode!C245),"")&amp;"'"&amp;";"&amp;
" group:= Egroup."&amp;OpCode!D245&amp;";"&amp;
" mode:= Emode."&amp;OpCode!E245&amp;";"&amp;
" len:= "&amp;OpCode!F245&amp;";"&amp;
" cycle:= ["&amp;SUBSTITUTE(OpCode!G245,"|",",")&amp;"];"&amp;
" state:= ["&amp;SUBSTITUTE(OpCode!H245,"|",",")&amp;"];"&amp;
" end;"</f>
        <v>with OpCodes[$F3] do begin code:= @op_DI; inst:= 'DI'; fmt:= 'DI'; group:= Egroup.control; mode:= Emode.imp; len:= 1; cycle:= []; state:= []; end;</v>
      </c>
    </row>
    <row r="246" spans="1:4" ht="101.25" x14ac:dyDescent="0.25">
      <c r="A246" s="19" t="str">
        <f>"op"&amp;"_"&amp;OpCode!B246&amp;ConvertFormat2(OpCode!C246)</f>
        <v>op_CP</v>
      </c>
      <c r="B246" s="20" t="str">
        <f t="shared" si="3"/>
        <v>procedure TCPU_8085.op_CP;</v>
      </c>
      <c r="C246" s="21" t="str">
        <f>$B246&amp;CHAR(10)&amp;ConvertCode(OpCode!K246,OpCode!I246,OpCode!G246,OpCode!H246)</f>
        <v>procedure TCPU_8085.op_CP;
var 
  adr: iSize16;
begin
  adr:= b2 shl 8 + b1;
  if P then CALL adr;
  inc(cycles, 2|5);
  inc(states, 9|18);
end;</v>
      </c>
      <c r="D246" s="21" t="str">
        <f>"with OpCodes[$"&amp;OpCode!A246&amp;"] do begin" &amp;
" code:= @"&amp;A246&amp;";"&amp;
" inst:= '"&amp;OpCode!B246&amp;"';"&amp;
" fmt:= '"&amp;OpCode!B246&amp;IF(OpCode!C246&lt;&gt;"","'+#9+'"&amp;convertFormat(OpCode!C246),"")&amp;"'"&amp;";"&amp;
" group:= Egroup."&amp;OpCode!D246&amp;";"&amp;
" mode:= Emode."&amp;OpCode!E246&amp;";"&amp;
" len:= "&amp;OpCode!F246&amp;";"&amp;
" cycle:= ["&amp;SUBSTITUTE(OpCode!G246,"|",",")&amp;"];"&amp;
" state:= ["&amp;SUBSTITUTE(OpCode!H246,"|",",")&amp;"];"&amp;
" end;"</f>
        <v>with OpCodes[$F4] do begin code:= @op_CP; inst:= 'CP'; fmt:= 'CP'+#9+'%.4x'; group:= Egroup.branch; mode:= Emode.abs; len:= 3; cycle:= [2,5]; state:= [9,18]; end;</v>
      </c>
    </row>
    <row r="247" spans="1:4" ht="90" x14ac:dyDescent="0.25">
      <c r="A247" s="19" t="str">
        <f>"op"&amp;"_"&amp;OpCode!B247&amp;ConvertFormat2(OpCode!C247)</f>
        <v>op_PUSH_PSW</v>
      </c>
      <c r="B247" s="20" t="str">
        <f t="shared" si="3"/>
        <v>procedure TCPU_8085.op_PUSH_PSW;</v>
      </c>
      <c r="C247" s="21" t="str">
        <f>$B247&amp;CHAR(10)&amp;ConvertCode(OpCode!K247,OpCode!I247,OpCode!G247,OpCode!H247)</f>
        <v>procedure TCPU_8085.op_PUSH_PSW;
begin
  (SP - 2):= ((flags) and $FF);
  (SP - 1):= (A and $FF);
  SP:= ((SP - 2) and $FFFF);
  inc(cycles, 3);
  inc(states, 13);
end;</v>
      </c>
      <c r="D247" s="21" t="str">
        <f>"with OpCodes[$"&amp;OpCode!A247&amp;"] do begin" &amp;
" code:= @"&amp;A247&amp;";"&amp;
" inst:= '"&amp;OpCode!B247&amp;"';"&amp;
" fmt:= '"&amp;OpCode!B247&amp;IF(OpCode!C247&lt;&gt;"","'+#9+'"&amp;convertFormat(OpCode!C247),"")&amp;"'"&amp;";"&amp;
" group:= Egroup."&amp;OpCode!D247&amp;";"&amp;
" mode:= Emode."&amp;OpCode!E247&amp;";"&amp;
" len:= "&amp;OpCode!F247&amp;";"&amp;
" cycle:= ["&amp;SUBSTITUTE(OpCode!G247,"|",",")&amp;"];"&amp;
" state:= ["&amp;SUBSTITUTE(OpCode!H247,"|",",")&amp;"];"&amp;
" end;"</f>
        <v>with OpCodes[$F5] do begin code:= @op_PUSH_PSW; inst:= 'PUSH'; fmt:= 'PUSH'+#9+'PSW'; group:= Egroup.stack; mode:= Emode.reg; len:= 1; cycle:= [3]; state:= [13]; end;</v>
      </c>
    </row>
    <row r="248" spans="1:4" ht="191.25" x14ac:dyDescent="0.25">
      <c r="A248" s="19" t="str">
        <f>"op"&amp;"_"&amp;OpCode!B248&amp;ConvertFormat2(OpCode!C248)</f>
        <v>op_ORI</v>
      </c>
      <c r="B248" s="20" t="str">
        <f t="shared" si="3"/>
        <v>procedure TCPU_8085.op_ORI;</v>
      </c>
      <c r="C248" s="21" t="str">
        <f>$B248&amp;CHAR(10)&amp;ConvertCode(OpCode!K248,OpCode!I248,OpCode!G248,OpCode!H248)</f>
        <v>procedure TCPU_8085.op_ORI;
var 
  b1: iSize8;
begin
  b1:= ReadMem(PC);
  PC:= (PC+1) and $FFFF;
  A:= ((A or b1) and $FF);
  F[EFlags.k]:= ?;
  F[EFlags.z]:= A = 0;
  F[EFlags.p]:= parity_of_bits[A];
  F[EFlags.s]:= (A and $80) = $80;
  F[EFlags.hc]:= false;
  F[EFlags.v]:= false;
  F[EFlags.cy]:= false;
  inc(cycles, );
  inc(states, );
end;</v>
      </c>
      <c r="D248" s="21" t="str">
        <f>"with OpCodes[$"&amp;OpCode!A248&amp;"] do begin" &amp;
" code:= @"&amp;A248&amp;";"&amp;
" inst:= '"&amp;OpCode!B248&amp;"';"&amp;
" fmt:= '"&amp;OpCode!B248&amp;IF(OpCode!C248&lt;&gt;"","'+#9+'"&amp;convertFormat(OpCode!C248),"")&amp;"'"&amp;";"&amp;
" group:= Egroup."&amp;OpCode!D248&amp;";"&amp;
" mode:= Emode."&amp;OpCode!E248&amp;";"&amp;
" len:= "&amp;OpCode!F248&amp;";"&amp;
" cycle:= ["&amp;SUBSTITUTE(OpCode!G248,"|",",")&amp;"];"&amp;
" state:= ["&amp;SUBSTITUTE(OpCode!H248,"|",",")&amp;"];"&amp;
" end;"</f>
        <v>with OpCodes[$F6] do begin code:= @op_ORI; inst:= 'ORI'; fmt:= 'ORI'+#9+'%.2x'; group:= Egroup.logic; mode:= Emode.imm; len:= 2; cycle:= []; state:= []; end;</v>
      </c>
    </row>
    <row r="249" spans="1:4" ht="67.5" x14ac:dyDescent="0.25">
      <c r="A249" s="19" t="str">
        <f>"op"&amp;"_"&amp;OpCode!B249&amp;ConvertFormat2(OpCode!C249)</f>
        <v>op_RST_6</v>
      </c>
      <c r="B249" s="20" t="str">
        <f t="shared" si="3"/>
        <v>procedure TCPU_8085.op_RST_6;</v>
      </c>
      <c r="C249" s="21" t="str">
        <f>$B249&amp;CHAR(10)&amp;ConvertCode(OpCode!K249,OpCode!I249,OpCode!G249,OpCode!H249)</f>
        <v>procedure TCPU_8085.op_RST_6;
begin
  CALL $30;
  inc(cycles, 3);
  inc(states, 12);
end;</v>
      </c>
      <c r="D249" s="21" t="str">
        <f>"with OpCodes[$"&amp;OpCode!A249&amp;"] do begin" &amp;
" code:= @"&amp;A249&amp;";"&amp;
" inst:= '"&amp;OpCode!B249&amp;"';"&amp;
" fmt:= '"&amp;OpCode!B249&amp;IF(OpCode!C249&lt;&gt;"","'+#9+'"&amp;convertFormat(OpCode!C249),"")&amp;"'"&amp;";"&amp;
" group:= Egroup."&amp;OpCode!D249&amp;";"&amp;
" mode:= Emode."&amp;OpCode!E249&amp;";"&amp;
" len:= "&amp;OpCode!F249&amp;";"&amp;
" cycle:= ["&amp;SUBSTITUTE(OpCode!G249,"|",",")&amp;"];"&amp;
" state:= ["&amp;SUBSTITUTE(OpCode!H249,"|",",")&amp;"];"&amp;
" end;"</f>
        <v>with OpCodes[$F7] do begin code:= @op_RST_6; inst:= 'RST'; fmt:= 'RST'+#9+'6'; group:= Egroup.branch; mode:= Emode.imp; len:= 1; cycle:= [3]; state:= [12]; end;</v>
      </c>
    </row>
    <row r="250" spans="1:4" ht="67.5" x14ac:dyDescent="0.25">
      <c r="A250" s="19" t="str">
        <f>"op"&amp;"_"&amp;OpCode!B250&amp;ConvertFormat2(OpCode!C250)</f>
        <v>op_RM</v>
      </c>
      <c r="B250" s="20" t="str">
        <f t="shared" si="3"/>
        <v>procedure TCPU_8085.op_RM;</v>
      </c>
      <c r="C250" s="21" t="str">
        <f>$B250&amp;CHAR(10)&amp;ConvertCode(OpCode!K250,OpCode!I250,OpCode!G250,OpCode!H250)</f>
        <v>procedure TCPU_8085.op_RM;
begin
  if M then RET;
  inc(cycles, 1|3);
  inc(states, 6|12);
end;</v>
      </c>
      <c r="D250" s="21" t="str">
        <f>"with OpCodes[$"&amp;OpCode!A250&amp;"] do begin" &amp;
" code:= @"&amp;A250&amp;";"&amp;
" inst:= '"&amp;OpCode!B250&amp;"';"&amp;
" fmt:= '"&amp;OpCode!B250&amp;IF(OpCode!C250&lt;&gt;"","'+#9+'"&amp;convertFormat(OpCode!C250),"")&amp;"'"&amp;";"&amp;
" group:= Egroup."&amp;OpCode!D250&amp;";"&amp;
" mode:= Emode."&amp;OpCode!E250&amp;";"&amp;
" len:= "&amp;OpCode!F250&amp;";"&amp;
" cycle:= ["&amp;SUBSTITUTE(OpCode!G250,"|",",")&amp;"];"&amp;
" state:= ["&amp;SUBSTITUTE(OpCode!H250,"|",",")&amp;"];"&amp;
" end;"</f>
        <v>with OpCodes[$F8] do begin code:= @op_RM; inst:= 'RM'; fmt:= 'RM'; group:= Egroup.branch; mode:= Emode.abs; len:= 1; cycle:= [1,3]; state:= [6,12]; end;</v>
      </c>
    </row>
    <row r="251" spans="1:4" ht="101.25" x14ac:dyDescent="0.25">
      <c r="A251" s="19" t="str">
        <f>"op"&amp;"_"&amp;OpCode!B251&amp;ConvertFormat2(OpCode!C251)</f>
        <v>op_SPHL</v>
      </c>
      <c r="B251" s="20" t="str">
        <f t="shared" si="3"/>
        <v>procedure TCPU_8085.op_SPHL;</v>
      </c>
      <c r="C251" s="21" t="str">
        <f>$B251&amp;CHAR(10)&amp;ConvertCode(OpCode!K251,OpCode!I251,OpCode!G251,OpCode!H251)</f>
        <v>procedure TCPU_8085.op_SPHL;
var 
  HL: iSize16;
begin
  HL:= H shl 8 + L;
  SP:= ((HL) and $FFFF);
  inc(cycles);
  inc(states, 6);
end;</v>
      </c>
      <c r="D251" s="21" t="str">
        <f>"with OpCodes[$"&amp;OpCode!A251&amp;"] do begin" &amp;
" code:= @"&amp;A251&amp;";"&amp;
" inst:= '"&amp;OpCode!B251&amp;"';"&amp;
" fmt:= '"&amp;OpCode!B251&amp;IF(OpCode!C251&lt;&gt;"","'+#9+'"&amp;convertFormat(OpCode!C251),"")&amp;"'"&amp;";"&amp;
" group:= Egroup."&amp;OpCode!D251&amp;";"&amp;
" mode:= Emode."&amp;OpCode!E251&amp;";"&amp;
" len:= "&amp;OpCode!F251&amp;";"&amp;
" cycle:= ["&amp;SUBSTITUTE(OpCode!G251,"|",",")&amp;"];"&amp;
" state:= ["&amp;SUBSTITUTE(OpCode!H251,"|",",")&amp;"];"&amp;
" end;"</f>
        <v>with OpCodes[$F9] do begin code:= @op_SPHL; inst:= 'SPHL'; fmt:= 'SPHL'; group:= Egroup.stack; mode:= Emode.imp; len:= 1; cycle:= [1]; state:= [6]; end;</v>
      </c>
    </row>
    <row r="252" spans="1:4" ht="101.25" x14ac:dyDescent="0.25">
      <c r="A252" s="19" t="str">
        <f>"op"&amp;"_"&amp;OpCode!B252&amp;ConvertFormat2(OpCode!C252)</f>
        <v>op_JM</v>
      </c>
      <c r="B252" s="20" t="str">
        <f t="shared" si="3"/>
        <v>procedure TCPU_8085.op_JM;</v>
      </c>
      <c r="C252" s="21" t="str">
        <f>$B252&amp;CHAR(10)&amp;ConvertCode(OpCode!K252,OpCode!I252,OpCode!G252,OpCode!H252)</f>
        <v>procedure TCPU_8085.op_JM;
var 
  adr: iSize16;
begin
  adr:= b2 shl 8 + b1;
  if M then PC:= ((adr) and $FF);
  inc(cycles, 2|3);
  inc(states, 7|10);
end;</v>
      </c>
      <c r="D252" s="21" t="str">
        <f>"with OpCodes[$"&amp;OpCode!A252&amp;"] do begin" &amp;
" code:= @"&amp;A252&amp;";"&amp;
" inst:= '"&amp;OpCode!B252&amp;"';"&amp;
" fmt:= '"&amp;OpCode!B252&amp;IF(OpCode!C252&lt;&gt;"","'+#9+'"&amp;convertFormat(OpCode!C252),"")&amp;"'"&amp;";"&amp;
" group:= Egroup."&amp;OpCode!D252&amp;";"&amp;
" mode:= Emode."&amp;OpCode!E252&amp;";"&amp;
" len:= "&amp;OpCode!F252&amp;";"&amp;
" cycle:= ["&amp;SUBSTITUTE(OpCode!G252,"|",",")&amp;"];"&amp;
" state:= ["&amp;SUBSTITUTE(OpCode!H252,"|",",")&amp;"];"&amp;
" end;"</f>
        <v>with OpCodes[$FA] do begin code:= @op_JM; inst:= 'JM'; fmt:= 'JM'+#9+'%.4x'; group:= Egroup.branch; mode:= Emode.abs; len:= 3; cycle:= [2,3]; state:= [7,10]; end;</v>
      </c>
    </row>
    <row r="253" spans="1:4" ht="67.5" x14ac:dyDescent="0.25">
      <c r="A253" s="19" t="str">
        <f>"op"&amp;"_"&amp;OpCode!B253&amp;ConvertFormat2(OpCode!C253)</f>
        <v>op_EI</v>
      </c>
      <c r="B253" s="20" t="str">
        <f t="shared" si="3"/>
        <v>procedure TCPU_8085.op_EI;</v>
      </c>
      <c r="C253" s="21" t="str">
        <f>$B253&amp;CHAR(10)&amp;ConvertCode(OpCode!K253,OpCode!I253,OpCode!G253,OpCode!H253)</f>
        <v>procedure TCPU_8085.op_EI;
begin
  Special;
  inc(cycles, );
  inc(states, );
end;</v>
      </c>
      <c r="D253" s="21" t="str">
        <f>"with OpCodes[$"&amp;OpCode!A253&amp;"] do begin" &amp;
" code:= @"&amp;A253&amp;";"&amp;
" inst:= '"&amp;OpCode!B253&amp;"';"&amp;
" fmt:= '"&amp;OpCode!B253&amp;IF(OpCode!C253&lt;&gt;"","'+#9+'"&amp;convertFormat(OpCode!C253),"")&amp;"'"&amp;";"&amp;
" group:= Egroup."&amp;OpCode!D253&amp;";"&amp;
" mode:= Emode."&amp;OpCode!E253&amp;";"&amp;
" len:= "&amp;OpCode!F253&amp;";"&amp;
" cycle:= ["&amp;SUBSTITUTE(OpCode!G253,"|",",")&amp;"];"&amp;
" state:= ["&amp;SUBSTITUTE(OpCode!H253,"|",",")&amp;"];"&amp;
" end;"</f>
        <v>with OpCodes[$FB] do begin code:= @op_EI; inst:= 'EI'; fmt:= 'EI'; group:= Egroup.control; mode:= Emode.imp; len:= 1; cycle:= []; state:= []; end;</v>
      </c>
    </row>
    <row r="254" spans="1:4" ht="101.25" x14ac:dyDescent="0.25">
      <c r="A254" s="19" t="str">
        <f>"op"&amp;"_"&amp;OpCode!B254&amp;ConvertFormat2(OpCode!C254)</f>
        <v>op_CM</v>
      </c>
      <c r="B254" s="20" t="str">
        <f t="shared" si="3"/>
        <v>procedure TCPU_8085.op_CM;</v>
      </c>
      <c r="C254" s="21" t="str">
        <f>$B254&amp;CHAR(10)&amp;ConvertCode(OpCode!K254,OpCode!I254,OpCode!G254,OpCode!H254)</f>
        <v>procedure TCPU_8085.op_CM;
var 
  adr: iSize16;
begin
  adr:= b2 shl 8 + b1;
  if M then CALL adr;
  inc(cycles, 2|5);
  inc(states, 9|18);
end;</v>
      </c>
      <c r="D254" s="21" t="str">
        <f>"with OpCodes[$"&amp;OpCode!A254&amp;"] do begin" &amp;
" code:= @"&amp;A254&amp;";"&amp;
" inst:= '"&amp;OpCode!B254&amp;"';"&amp;
" fmt:= '"&amp;OpCode!B254&amp;IF(OpCode!C254&lt;&gt;"","'+#9+'"&amp;convertFormat(OpCode!C254),"")&amp;"'"&amp;";"&amp;
" group:= Egroup."&amp;OpCode!D254&amp;";"&amp;
" mode:= Emode."&amp;OpCode!E254&amp;";"&amp;
" len:= "&amp;OpCode!F254&amp;";"&amp;
" cycle:= ["&amp;SUBSTITUTE(OpCode!G254,"|",",")&amp;"];"&amp;
" state:= ["&amp;SUBSTITUTE(OpCode!H254,"|",",")&amp;"];"&amp;
" end;"</f>
        <v>with OpCodes[$FC] do begin code:= @op_CM; inst:= 'CM'; fmt:= 'CM'+#9+'%.4x'; group:= Egroup.branch; mode:= Emode.abs; len:= 3; cycle:= [2,5]; state:= [9,18]; end;</v>
      </c>
    </row>
    <row r="255" spans="1:4" ht="101.25" x14ac:dyDescent="0.25">
      <c r="A255" s="19" t="str">
        <f>"op"&amp;"_"&amp;OpCode!B255&amp;ConvertFormat2(OpCode!C255)</f>
        <v>op_JK</v>
      </c>
      <c r="B255" s="20" t="str">
        <f t="shared" si="3"/>
        <v>procedure TCPU_8085.op_JK;</v>
      </c>
      <c r="C255" s="21" t="str">
        <f>$B255&amp;CHAR(10)&amp;ConvertCode(OpCode!K255,OpCode!I255,OpCode!G255,OpCode!H255)</f>
        <v>procedure TCPU_8085.op_JK;
var 
  adr: iSize16;
begin
  adr:= b2 shl 8 + b1;
  if K then PC:= ((adr) and $FF);
  inc(cycles, 2|3);
  inc(states, 7|10);
end;</v>
      </c>
      <c r="D255" s="21" t="str">
        <f>"with OpCodes[$"&amp;OpCode!A255&amp;"] do begin" &amp;
" code:= @"&amp;A255&amp;";"&amp;
" inst:= '"&amp;OpCode!B255&amp;"';"&amp;
" fmt:= '"&amp;OpCode!B255&amp;IF(OpCode!C255&lt;&gt;"","'+#9+'"&amp;convertFormat(OpCode!C255),"")&amp;"'"&amp;";"&amp;
" group:= Egroup."&amp;OpCode!D255&amp;";"&amp;
" mode:= Emode."&amp;OpCode!E255&amp;";"&amp;
" len:= "&amp;OpCode!F255&amp;";"&amp;
" cycle:= ["&amp;SUBSTITUTE(OpCode!G255,"|",",")&amp;"];"&amp;
" state:= ["&amp;SUBSTITUTE(OpCode!H255,"|",",")&amp;"];"&amp;
" end;"</f>
        <v>with OpCodes[$FD] do begin code:= @op_JK; inst:= 'JK'; fmt:= 'JK'+#9+'%.4x'; group:= Egroup.branch; mode:= Emode.abs; len:= 3; cycle:= [2,3]; state:= [7,10]; end;</v>
      </c>
    </row>
    <row r="256" spans="1:4" ht="191.25" x14ac:dyDescent="0.25">
      <c r="A256" s="19" t="str">
        <f>"op"&amp;"_"&amp;OpCode!B256&amp;ConvertFormat2(OpCode!C256)</f>
        <v>op_CPI</v>
      </c>
      <c r="B256" s="20" t="str">
        <f t="shared" si="3"/>
        <v>procedure TCPU_8085.op_CPI;</v>
      </c>
      <c r="C256" s="21" t="str">
        <f>$B256&amp;CHAR(10)&amp;ConvertCode(OpCode!K256,OpCode!I256,OpCode!G256,OpCode!H256)</f>
        <v>procedure TCPU_8085.op_CPI;
var 
  b1: iSize8;
begin
  b1:= ReadMem(PC);
  PC:= (PC+1) and $FFFF;
  A - b1;
  F[EFlags.k]:= ?;
  F[EFlags.v]:= ?;
  F[EFlags.z]:= A = 0;
  F[EFlags.p]:= parity_of_bits[A];
  F[EFlags.s]:= (A and $80) = $80;
  F[EFlags.hc]:= (A and $0F) = $F;  
  F[EFlags.cy]:= (A and $100) = $100;  
  inc(cycles, );
  inc(states, );
end;</v>
      </c>
      <c r="D256" s="21" t="str">
        <f>"with OpCodes[$"&amp;OpCode!A256&amp;"] do begin" &amp;
" code:= @"&amp;A256&amp;";"&amp;
" inst:= '"&amp;OpCode!B256&amp;"';"&amp;
" fmt:= '"&amp;OpCode!B256&amp;IF(OpCode!C256&lt;&gt;"","'+#9+'"&amp;convertFormat(OpCode!C256),"")&amp;"'"&amp;";"&amp;
" group:= Egroup."&amp;OpCode!D256&amp;";"&amp;
" mode:= Emode."&amp;OpCode!E256&amp;";"&amp;
" len:= "&amp;OpCode!F256&amp;";"&amp;
" cycle:= ["&amp;SUBSTITUTE(OpCode!G256,"|",",")&amp;"];"&amp;
" state:= ["&amp;SUBSTITUTE(OpCode!H256,"|",",")&amp;"];"&amp;
" end;"</f>
        <v>with OpCodes[$FE] do begin code:= @op_CPI; inst:= 'CPI'; fmt:= 'CPI'+#9+'%.2x'; group:= Egroup.branch; mode:= Emode.imm; len:= 2; cycle:= []; state:= []; end;</v>
      </c>
    </row>
    <row r="257" spans="1:4" ht="67.5" x14ac:dyDescent="0.25">
      <c r="A257" s="19" t="str">
        <f>"op"&amp;"_"&amp;OpCode!B257&amp;ConvertFormat2(OpCode!C257)</f>
        <v>op_RST_7</v>
      </c>
      <c r="B257" s="20" t="str">
        <f t="shared" si="3"/>
        <v>procedure TCPU_8085.op_RST_7;</v>
      </c>
      <c r="C257" s="21" t="str">
        <f>$B257&amp;CHAR(10)&amp;ConvertCode(OpCode!K257,OpCode!I257,OpCode!G257,OpCode!H257)</f>
        <v>procedure TCPU_8085.op_RST_7;
begin
  CALL $38;
  inc(cycles, 3);
  inc(states, 12);
end;</v>
      </c>
      <c r="D257" s="21" t="str">
        <f>"with OpCodes[$"&amp;OpCode!A257&amp;"] do begin" &amp;
" code:= @"&amp;A257&amp;";"&amp;
" inst:= '"&amp;OpCode!B257&amp;"';"&amp;
" fmt:= '"&amp;OpCode!B257&amp;IF(OpCode!C257&lt;&gt;"","'+#9+'"&amp;convertFormat(OpCode!C257),"")&amp;"'"&amp;";"&amp;
" group:= Egroup."&amp;OpCode!D257&amp;";"&amp;
" mode:= Emode."&amp;OpCode!E257&amp;";"&amp;
" len:= "&amp;OpCode!F257&amp;";"&amp;
" cycle:= ["&amp;SUBSTITUTE(OpCode!G257,"|",",")&amp;"];"&amp;
" state:= ["&amp;SUBSTITUTE(OpCode!H257,"|",",")&amp;"];"&amp;
" end;"</f>
        <v>with OpCodes[$FF] do begin code:= @op_RST_7; inst:= 'RST'; fmt:= 'RST'+#9+'7'; group:= Egroup.branch; mode:= Emode.imp; len:= 1; cycle:= [3]; state:= [12]; end;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OpCode</vt:lpstr>
      <vt:lpstr>Table</vt:lpstr>
      <vt:lpstr>MD</vt:lpstr>
      <vt:lpstr>Pas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2021-02-20T18:12:24Z</dcterms:modified>
</cp:coreProperties>
</file>