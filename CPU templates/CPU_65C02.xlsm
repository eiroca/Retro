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8FB6C28B-6DB4-4533-BE76-0D2BD5B5C1BE}" xr6:coauthVersionLast="46" xr6:coauthVersionMax="46" xr10:uidLastSave="{00000000-0000-0000-0000-000000000000}"/>
  <bookViews>
    <workbookView xWindow="-120" yWindow="-120" windowWidth="25440" windowHeight="15390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OpCode!$A$1:$K$257</definedName>
    <definedName name="_xlnm._FilterDatabase" localSheetId="4" hidden="1">Pas!$A$1:$D$257</definedName>
    <definedName name="BBR" localSheetId="1">OpCode!$C$17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5" i="9" l="1"/>
  <c r="A251" i="9"/>
  <c r="A247" i="9"/>
  <c r="A243" i="9"/>
  <c r="A239" i="9"/>
  <c r="A235" i="9"/>
  <c r="A231" i="9"/>
  <c r="A227" i="9"/>
  <c r="A223" i="9"/>
  <c r="A219" i="9"/>
  <c r="A215" i="9"/>
  <c r="A211" i="9"/>
  <c r="A207" i="9"/>
  <c r="A203" i="9"/>
  <c r="A199" i="9"/>
  <c r="A195" i="9"/>
  <c r="A191" i="9"/>
  <c r="A187" i="9"/>
  <c r="A183" i="9"/>
  <c r="A179" i="9"/>
  <c r="A175" i="9"/>
  <c r="A256" i="9"/>
  <c r="A252" i="9"/>
  <c r="A248" i="9"/>
  <c r="A244" i="9"/>
  <c r="A240" i="9"/>
  <c r="A236" i="9"/>
  <c r="A232" i="9"/>
  <c r="A228" i="9"/>
  <c r="A224" i="9"/>
  <c r="A220" i="9"/>
  <c r="A216" i="9"/>
  <c r="A212" i="9"/>
  <c r="A208" i="9"/>
  <c r="A204" i="9"/>
  <c r="A200" i="9"/>
  <c r="A196" i="9"/>
  <c r="A192" i="9"/>
  <c r="A188" i="9"/>
  <c r="A184" i="9"/>
  <c r="A180" i="9"/>
  <c r="A176" i="9"/>
  <c r="A257" i="9"/>
  <c r="A249" i="9"/>
  <c r="A241" i="9"/>
  <c r="A233" i="9"/>
  <c r="A225" i="9"/>
  <c r="A217" i="9"/>
  <c r="A209" i="9"/>
  <c r="A201" i="9"/>
  <c r="A193" i="9"/>
  <c r="A185" i="9"/>
  <c r="A177" i="9"/>
  <c r="A172" i="9"/>
  <c r="A170" i="9"/>
  <c r="A168" i="9"/>
  <c r="A166" i="9"/>
  <c r="A164" i="9"/>
  <c r="A162" i="9"/>
  <c r="A160" i="9"/>
  <c r="A157" i="9"/>
  <c r="A153" i="9"/>
  <c r="A149" i="9"/>
  <c r="A145" i="9"/>
  <c r="A141" i="9"/>
  <c r="A137" i="9"/>
  <c r="A133" i="9"/>
  <c r="A129" i="9"/>
  <c r="A125" i="9"/>
  <c r="A121" i="9"/>
  <c r="A117" i="9"/>
  <c r="A113" i="9"/>
  <c r="A109" i="9"/>
  <c r="A105" i="9"/>
  <c r="A101" i="9"/>
  <c r="A97" i="9"/>
  <c r="A93" i="9"/>
  <c r="A89" i="9"/>
  <c r="A85" i="9"/>
  <c r="A254" i="9"/>
  <c r="A246" i="9"/>
  <c r="A238" i="9"/>
  <c r="A230" i="9"/>
  <c r="A222" i="9"/>
  <c r="A214" i="9"/>
  <c r="A206" i="9"/>
  <c r="A198" i="9"/>
  <c r="A190" i="9"/>
  <c r="A182" i="9"/>
  <c r="A174" i="9"/>
  <c r="A158" i="9"/>
  <c r="A154" i="9"/>
  <c r="A150" i="9"/>
  <c r="A146" i="9"/>
  <c r="A142" i="9"/>
  <c r="A138" i="9"/>
  <c r="A134" i="9"/>
  <c r="A130" i="9"/>
  <c r="A126" i="9"/>
  <c r="A122" i="9"/>
  <c r="A118" i="9"/>
  <c r="A114" i="9"/>
  <c r="A110" i="9"/>
  <c r="A106" i="9"/>
  <c r="A102" i="9"/>
  <c r="A98" i="9"/>
  <c r="A94" i="9"/>
  <c r="A90" i="9"/>
  <c r="A86" i="9"/>
  <c r="A82" i="9"/>
  <c r="A78" i="9"/>
  <c r="A74" i="9"/>
  <c r="A70" i="9"/>
  <c r="A66" i="9"/>
  <c r="A62" i="9"/>
  <c r="A245" i="9"/>
  <c r="A229" i="9"/>
  <c r="A213" i="9"/>
  <c r="A197" i="9"/>
  <c r="A181" i="9"/>
  <c r="A171" i="9"/>
  <c r="A167" i="9"/>
  <c r="A163" i="9"/>
  <c r="A159" i="9"/>
  <c r="A151" i="9"/>
  <c r="A143" i="9"/>
  <c r="A135" i="9"/>
  <c r="A127" i="9"/>
  <c r="A119" i="9"/>
  <c r="A111" i="9"/>
  <c r="A103" i="9"/>
  <c r="A95" i="9"/>
  <c r="A87" i="9"/>
  <c r="A80" i="9"/>
  <c r="A73" i="9"/>
  <c r="A71" i="9"/>
  <c r="A64" i="9"/>
  <c r="A59" i="9"/>
  <c r="A55" i="9"/>
  <c r="A51" i="9"/>
  <c r="A47" i="9"/>
  <c r="A43" i="9"/>
  <c r="A39" i="9"/>
  <c r="A35" i="9"/>
  <c r="A31" i="9"/>
  <c r="A27" i="9"/>
  <c r="A23" i="9"/>
  <c r="A19" i="9"/>
  <c r="A15" i="9"/>
  <c r="A11" i="9"/>
  <c r="A7" i="9"/>
  <c r="A3" i="9"/>
  <c r="A115" i="9"/>
  <c r="A83" i="9"/>
  <c r="A65" i="9"/>
  <c r="A53" i="9"/>
  <c r="A49" i="9"/>
  <c r="A41" i="9"/>
  <c r="A37" i="9"/>
  <c r="A33" i="9"/>
  <c r="A21" i="9"/>
  <c r="A17" i="9"/>
  <c r="A13" i="9"/>
  <c r="A194" i="9"/>
  <c r="A152" i="9"/>
  <c r="A136" i="9"/>
  <c r="A88" i="9"/>
  <c r="A58" i="9"/>
  <c r="A42" i="9"/>
  <c r="A30" i="9"/>
  <c r="A22" i="9"/>
  <c r="A10" i="9"/>
  <c r="A250" i="9"/>
  <c r="A234" i="9"/>
  <c r="A218" i="9"/>
  <c r="A202" i="9"/>
  <c r="A186" i="9"/>
  <c r="A156" i="9"/>
  <c r="A148" i="9"/>
  <c r="A140" i="9"/>
  <c r="A132" i="9"/>
  <c r="A124" i="9"/>
  <c r="A116" i="9"/>
  <c r="A108" i="9"/>
  <c r="A100" i="9"/>
  <c r="A92" i="9"/>
  <c r="A84" i="9"/>
  <c r="A76" i="9"/>
  <c r="A69" i="9"/>
  <c r="A67" i="9"/>
  <c r="A60" i="9"/>
  <c r="A56" i="9"/>
  <c r="A52" i="9"/>
  <c r="A48" i="9"/>
  <c r="A44" i="9"/>
  <c r="A40" i="9"/>
  <c r="A36" i="9"/>
  <c r="A32" i="9"/>
  <c r="A28" i="9"/>
  <c r="A24" i="9"/>
  <c r="A20" i="9"/>
  <c r="A16" i="9"/>
  <c r="A12" i="9"/>
  <c r="A8" i="9"/>
  <c r="A4" i="9"/>
  <c r="A253" i="9"/>
  <c r="A237" i="9"/>
  <c r="A221" i="9"/>
  <c r="A205" i="9"/>
  <c r="A189" i="9"/>
  <c r="A173" i="9"/>
  <c r="A169" i="9"/>
  <c r="A165" i="9"/>
  <c r="A155" i="9"/>
  <c r="A147" i="9"/>
  <c r="A139" i="9"/>
  <c r="A131" i="9"/>
  <c r="A123" i="9"/>
  <c r="A107" i="9"/>
  <c r="A91" i="9"/>
  <c r="A81" i="9"/>
  <c r="A57" i="9"/>
  <c r="A45" i="9"/>
  <c r="A29" i="9"/>
  <c r="A5" i="9"/>
  <c r="A226" i="9"/>
  <c r="A178" i="9"/>
  <c r="A144" i="9"/>
  <c r="A128" i="9"/>
  <c r="A112" i="9"/>
  <c r="A96" i="9"/>
  <c r="A75" i="9"/>
  <c r="A68" i="9"/>
  <c r="A54" i="9"/>
  <c r="A14" i="9"/>
  <c r="A161" i="9"/>
  <c r="A99" i="9"/>
  <c r="A79" i="9"/>
  <c r="A72" i="9"/>
  <c r="A63" i="9"/>
  <c r="A25" i="9"/>
  <c r="A9" i="9"/>
  <c r="A242" i="9"/>
  <c r="A210" i="9"/>
  <c r="A120" i="9"/>
  <c r="A104" i="9"/>
  <c r="A77" i="9"/>
  <c r="A61" i="9"/>
  <c r="A50" i="9"/>
  <c r="A46" i="9"/>
  <c r="A38" i="9"/>
  <c r="A34" i="9"/>
  <c r="A26" i="9"/>
  <c r="A18" i="9"/>
  <c r="A6" i="9"/>
  <c r="B6" i="9" l="1"/>
  <c r="B18" i="9"/>
  <c r="D26" i="9"/>
  <c r="B26" i="9"/>
  <c r="B34" i="9"/>
  <c r="B38" i="9"/>
  <c r="B46" i="9"/>
  <c r="B50" i="9"/>
  <c r="B61" i="9"/>
  <c r="D61" i="9"/>
  <c r="B77" i="9"/>
  <c r="D77" i="9"/>
  <c r="B104" i="9"/>
  <c r="B120" i="9"/>
  <c r="B210" i="9"/>
  <c r="B242" i="9"/>
  <c r="B9" i="9"/>
  <c r="B25" i="9"/>
  <c r="B63" i="9"/>
  <c r="B72" i="9"/>
  <c r="B79" i="9"/>
  <c r="B99" i="9"/>
  <c r="B161" i="9"/>
  <c r="B14" i="9"/>
  <c r="B54" i="9"/>
  <c r="B68" i="9"/>
  <c r="D68" i="9"/>
  <c r="B75" i="9"/>
  <c r="B96" i="9"/>
  <c r="B112" i="9"/>
  <c r="B128" i="9"/>
  <c r="B144" i="9"/>
  <c r="B178" i="9"/>
  <c r="B226" i="9"/>
  <c r="D5" i="9"/>
  <c r="B5" i="9"/>
  <c r="D29" i="9"/>
  <c r="B29" i="9"/>
  <c r="D45" i="9"/>
  <c r="B45" i="9"/>
  <c r="B57" i="9"/>
  <c r="B81" i="9"/>
  <c r="B91" i="9"/>
  <c r="B107" i="9"/>
  <c r="B123" i="9"/>
  <c r="B131" i="9"/>
  <c r="B139" i="9"/>
  <c r="B147" i="9"/>
  <c r="B155" i="9"/>
  <c r="B165" i="9"/>
  <c r="D165" i="9"/>
  <c r="B169" i="9"/>
  <c r="D173" i="9"/>
  <c r="B173" i="9"/>
  <c r="D189" i="9"/>
  <c r="B189" i="9"/>
  <c r="D205" i="9"/>
  <c r="B205" i="9"/>
  <c r="D221" i="9"/>
  <c r="B221" i="9"/>
  <c r="D237" i="9"/>
  <c r="B237" i="9"/>
  <c r="D253" i="9"/>
  <c r="B253" i="9"/>
  <c r="B4" i="9"/>
  <c r="D4" i="9"/>
  <c r="B8" i="9"/>
  <c r="B12" i="9"/>
  <c r="B16" i="9"/>
  <c r="B20" i="9"/>
  <c r="B24" i="9"/>
  <c r="B28" i="9"/>
  <c r="B32" i="9"/>
  <c r="B36" i="9"/>
  <c r="D36" i="9"/>
  <c r="B40" i="9"/>
  <c r="B44" i="9"/>
  <c r="B48" i="9"/>
  <c r="B52" i="9"/>
  <c r="B56" i="9"/>
  <c r="B60" i="9"/>
  <c r="B67" i="9"/>
  <c r="B69" i="9"/>
  <c r="D69" i="9"/>
  <c r="B76" i="9"/>
  <c r="D76" i="9"/>
  <c r="B84" i="9"/>
  <c r="B92" i="9"/>
  <c r="D92" i="9"/>
  <c r="B100" i="9"/>
  <c r="D100" i="9"/>
  <c r="B108" i="9"/>
  <c r="B116" i="9"/>
  <c r="B124" i="9"/>
  <c r="D124" i="9"/>
  <c r="B132" i="9"/>
  <c r="D132" i="9"/>
  <c r="B140" i="9"/>
  <c r="D140" i="9"/>
  <c r="B148" i="9"/>
  <c r="B156" i="9"/>
  <c r="D156" i="9"/>
  <c r="D186" i="9"/>
  <c r="B186" i="9"/>
  <c r="D202" i="9"/>
  <c r="B202" i="9"/>
  <c r="D218" i="9"/>
  <c r="B218" i="9"/>
  <c r="D234" i="9"/>
  <c r="B234" i="9"/>
  <c r="D250" i="9"/>
  <c r="B250" i="9"/>
  <c r="D10" i="9"/>
  <c r="B10" i="9"/>
  <c r="B22" i="9"/>
  <c r="B30" i="9"/>
  <c r="B42" i="9"/>
  <c r="D42" i="9"/>
  <c r="D58" i="9"/>
  <c r="B58" i="9"/>
  <c r="B88" i="9"/>
  <c r="B136" i="9"/>
  <c r="B152" i="9"/>
  <c r="B194" i="9"/>
  <c r="D13" i="9"/>
  <c r="B13" i="9"/>
  <c r="B17" i="9"/>
  <c r="D21" i="9"/>
  <c r="B21" i="9"/>
  <c r="B33" i="9"/>
  <c r="D37" i="9"/>
  <c r="B37" i="9"/>
  <c r="B41" i="9"/>
  <c r="B49" i="9"/>
  <c r="D53" i="9"/>
  <c r="B53" i="9"/>
  <c r="B65" i="9"/>
  <c r="B83" i="9"/>
  <c r="B115" i="9"/>
  <c r="B3" i="9"/>
  <c r="B7" i="9"/>
  <c r="B11" i="9"/>
  <c r="B15" i="9"/>
  <c r="B19" i="9"/>
  <c r="B23" i="9"/>
  <c r="B27" i="9"/>
  <c r="B31" i="9"/>
  <c r="B35" i="9"/>
  <c r="B39" i="9"/>
  <c r="B43" i="9"/>
  <c r="B47" i="9"/>
  <c r="B51" i="9"/>
  <c r="B55" i="9"/>
  <c r="B59" i="9"/>
  <c r="B64" i="9"/>
  <c r="B71" i="9"/>
  <c r="B73" i="9"/>
  <c r="B80" i="9"/>
  <c r="B87" i="9"/>
  <c r="B95" i="9"/>
  <c r="B103" i="9"/>
  <c r="B111" i="9"/>
  <c r="B119" i="9"/>
  <c r="B127" i="9"/>
  <c r="B135" i="9"/>
  <c r="B143" i="9"/>
  <c r="B151" i="9"/>
  <c r="B159" i="9"/>
  <c r="B163" i="9"/>
  <c r="B167" i="9"/>
  <c r="B171" i="9"/>
  <c r="D181" i="9"/>
  <c r="B181" i="9"/>
  <c r="D197" i="9"/>
  <c r="B197" i="9"/>
  <c r="D213" i="9"/>
  <c r="B213" i="9"/>
  <c r="D229" i="9"/>
  <c r="B229" i="9"/>
  <c r="D245" i="9"/>
  <c r="B245" i="9"/>
  <c r="B62" i="9"/>
  <c r="B66" i="9"/>
  <c r="D66" i="9"/>
  <c r="B70" i="9"/>
  <c r="D70" i="9"/>
  <c r="B74" i="9"/>
  <c r="D74" i="9"/>
  <c r="B78" i="9"/>
  <c r="B82" i="9"/>
  <c r="B86" i="9"/>
  <c r="D86" i="9"/>
  <c r="B90" i="9"/>
  <c r="D90" i="9"/>
  <c r="B94" i="9"/>
  <c r="D94" i="9"/>
  <c r="B98" i="9"/>
  <c r="D98" i="9"/>
  <c r="B102" i="9"/>
  <c r="B106" i="9"/>
  <c r="D106" i="9"/>
  <c r="B110" i="9"/>
  <c r="B114" i="9"/>
  <c r="B118" i="9"/>
  <c r="B122" i="9"/>
  <c r="D122" i="9"/>
  <c r="B126" i="9"/>
  <c r="B130" i="9"/>
  <c r="B134" i="9"/>
  <c r="B138" i="9"/>
  <c r="D138" i="9"/>
  <c r="B142" i="9"/>
  <c r="B146" i="9"/>
  <c r="B150" i="9"/>
  <c r="B154" i="9"/>
  <c r="D154" i="9"/>
  <c r="B158" i="9"/>
  <c r="B174" i="9"/>
  <c r="B182" i="9"/>
  <c r="B190" i="9"/>
  <c r="B198" i="9"/>
  <c r="B206" i="9"/>
  <c r="D214" i="9"/>
  <c r="B214" i="9"/>
  <c r="D222" i="9"/>
  <c r="B222" i="9"/>
  <c r="B230" i="9"/>
  <c r="B238" i="9"/>
  <c r="D246" i="9"/>
  <c r="B246" i="9"/>
  <c r="B254" i="9"/>
  <c r="B85" i="9"/>
  <c r="D85" i="9"/>
  <c r="B89" i="9"/>
  <c r="B93" i="9"/>
  <c r="D93" i="9"/>
  <c r="B97" i="9"/>
  <c r="B101" i="9"/>
  <c r="D101" i="9"/>
  <c r="B105" i="9"/>
  <c r="B109" i="9"/>
  <c r="D109" i="9"/>
  <c r="B113" i="9"/>
  <c r="B117" i="9"/>
  <c r="D117" i="9"/>
  <c r="B121" i="9"/>
  <c r="B125" i="9"/>
  <c r="D125" i="9"/>
  <c r="B129" i="9"/>
  <c r="B133" i="9"/>
  <c r="D133" i="9"/>
  <c r="B137" i="9"/>
  <c r="B141" i="9"/>
  <c r="D141" i="9"/>
  <c r="B145" i="9"/>
  <c r="B149" i="9"/>
  <c r="D149" i="9"/>
  <c r="B153" i="9"/>
  <c r="B157" i="9"/>
  <c r="D157" i="9"/>
  <c r="B160" i="9"/>
  <c r="B162" i="9"/>
  <c r="B164" i="9"/>
  <c r="B166" i="9"/>
  <c r="B168" i="9"/>
  <c r="B170" i="9"/>
  <c r="D170" i="9"/>
  <c r="B172" i="9"/>
  <c r="D172" i="9"/>
  <c r="B177" i="9"/>
  <c r="B185" i="9"/>
  <c r="B193" i="9"/>
  <c r="B201" i="9"/>
  <c r="B209" i="9"/>
  <c r="B217" i="9"/>
  <c r="B225" i="9"/>
  <c r="B233" i="9"/>
  <c r="B241" i="9"/>
  <c r="B249" i="9"/>
  <c r="B257" i="9"/>
  <c r="B176" i="9"/>
  <c r="B180" i="9"/>
  <c r="B184" i="9"/>
  <c r="B188" i="9"/>
  <c r="D188" i="9"/>
  <c r="B192" i="9"/>
  <c r="B196" i="9"/>
  <c r="D196" i="9"/>
  <c r="B200" i="9"/>
  <c r="B204" i="9"/>
  <c r="D204" i="9"/>
  <c r="B208" i="9"/>
  <c r="B212" i="9"/>
  <c r="B216" i="9"/>
  <c r="B220" i="9"/>
  <c r="D220" i="9"/>
  <c r="B224" i="9"/>
  <c r="B228" i="9"/>
  <c r="D228" i="9"/>
  <c r="B232" i="9"/>
  <c r="B236" i="9"/>
  <c r="D236" i="9"/>
  <c r="B240" i="9"/>
  <c r="B244" i="9"/>
  <c r="D244" i="9"/>
  <c r="B248" i="9"/>
  <c r="B252" i="9"/>
  <c r="D252" i="9"/>
  <c r="B256" i="9"/>
  <c r="B175" i="9"/>
  <c r="B179" i="9"/>
  <c r="B183" i="9"/>
  <c r="B187" i="9"/>
  <c r="B191" i="9"/>
  <c r="B195" i="9"/>
  <c r="B199" i="9"/>
  <c r="B203" i="9"/>
  <c r="B207" i="9"/>
  <c r="B211" i="9"/>
  <c r="B215" i="9"/>
  <c r="B219" i="9"/>
  <c r="B223" i="9"/>
  <c r="B227" i="9"/>
  <c r="B231" i="9"/>
  <c r="B235" i="9"/>
  <c r="B239" i="9"/>
  <c r="B243" i="9"/>
  <c r="B247" i="9"/>
  <c r="B251" i="9"/>
  <c r="B255" i="9"/>
  <c r="D6" i="9"/>
  <c r="D38" i="9"/>
  <c r="D50" i="9"/>
  <c r="C77" i="9"/>
  <c r="C120" i="9"/>
  <c r="D242" i="9"/>
  <c r="D25" i="9"/>
  <c r="C72" i="9"/>
  <c r="C99" i="9"/>
  <c r="D14" i="9"/>
  <c r="C68" i="9"/>
  <c r="C96" i="9"/>
  <c r="C128" i="9"/>
  <c r="D178" i="9"/>
  <c r="C81" i="9"/>
  <c r="C107" i="9"/>
  <c r="C131" i="9"/>
  <c r="C147" i="9"/>
  <c r="C165" i="9"/>
  <c r="C4" i="9"/>
  <c r="C12" i="9"/>
  <c r="C20" i="9"/>
  <c r="C28" i="9"/>
  <c r="C36" i="9"/>
  <c r="C44" i="9"/>
  <c r="C52" i="9"/>
  <c r="C60" i="9"/>
  <c r="C69" i="9"/>
  <c r="C84" i="9"/>
  <c r="C100" i="9"/>
  <c r="C116" i="9"/>
  <c r="C132" i="9"/>
  <c r="C148" i="9"/>
  <c r="C22" i="9"/>
  <c r="C42" i="9"/>
  <c r="C88" i="9"/>
  <c r="C152" i="9"/>
  <c r="D49" i="9"/>
  <c r="C65" i="9"/>
  <c r="C115" i="9"/>
  <c r="D7" i="9"/>
  <c r="C15" i="9"/>
  <c r="C23" i="9"/>
  <c r="C31" i="9"/>
  <c r="D39" i="9"/>
  <c r="C47" i="9"/>
  <c r="D55" i="9"/>
  <c r="C64" i="9"/>
  <c r="C73" i="9"/>
  <c r="C87" i="9"/>
  <c r="C103" i="9"/>
  <c r="C119" i="9"/>
  <c r="C135" i="9"/>
  <c r="C151" i="9"/>
  <c r="C163" i="9"/>
  <c r="C171" i="9"/>
  <c r="C62" i="9"/>
  <c r="C70" i="9"/>
  <c r="C78" i="9"/>
  <c r="C86" i="9"/>
  <c r="C94" i="9"/>
  <c r="C102" i="9"/>
  <c r="C110" i="9"/>
  <c r="C118" i="9"/>
  <c r="C126" i="9"/>
  <c r="C134" i="9"/>
  <c r="C142" i="9"/>
  <c r="C150" i="9"/>
  <c r="C158" i="9"/>
  <c r="D182" i="9"/>
  <c r="D198" i="9"/>
  <c r="D230" i="9"/>
  <c r="C85" i="9"/>
  <c r="C93" i="9"/>
  <c r="C101" i="9"/>
  <c r="C109" i="9"/>
  <c r="C117" i="9"/>
  <c r="C125" i="9"/>
  <c r="C133" i="9"/>
  <c r="C141" i="9"/>
  <c r="C149" i="9"/>
  <c r="C157" i="9"/>
  <c r="C162" i="9"/>
  <c r="C166" i="9"/>
  <c r="C170" i="9"/>
  <c r="D177" i="9"/>
  <c r="D193" i="9"/>
  <c r="D209" i="9"/>
  <c r="D225" i="9"/>
  <c r="D241" i="9"/>
  <c r="D257" i="9"/>
  <c r="C180" i="9"/>
  <c r="C188" i="9"/>
  <c r="C196" i="9"/>
  <c r="C204" i="9"/>
  <c r="C212" i="9"/>
  <c r="C220" i="9"/>
  <c r="C228" i="9"/>
  <c r="C236" i="9"/>
  <c r="C244" i="9"/>
  <c r="C252" i="9"/>
  <c r="C6" i="9"/>
  <c r="C26" i="9"/>
  <c r="C38" i="9"/>
  <c r="C50" i="9"/>
  <c r="D120" i="9"/>
  <c r="C242" i="9"/>
  <c r="C25" i="9"/>
  <c r="D72" i="9"/>
  <c r="D99" i="9"/>
  <c r="C14" i="9"/>
  <c r="D96" i="9"/>
  <c r="D128" i="9"/>
  <c r="C178" i="9"/>
  <c r="C5" i="9"/>
  <c r="C45" i="9"/>
  <c r="D81" i="9"/>
  <c r="D107" i="9"/>
  <c r="D131" i="9"/>
  <c r="D147" i="9"/>
  <c r="C173" i="9"/>
  <c r="C205" i="9"/>
  <c r="C237" i="9"/>
  <c r="D12" i="9"/>
  <c r="D20" i="9"/>
  <c r="D28" i="9"/>
  <c r="D44" i="9"/>
  <c r="D52" i="9"/>
  <c r="D60" i="9"/>
  <c r="D84" i="9"/>
  <c r="D116" i="9"/>
  <c r="D148" i="9"/>
  <c r="C186" i="9"/>
  <c r="C218" i="9"/>
  <c r="C250" i="9"/>
  <c r="D22" i="9"/>
  <c r="D88" i="9"/>
  <c r="D152" i="9"/>
  <c r="C13" i="9"/>
  <c r="C21" i="9"/>
  <c r="C37" i="9"/>
  <c r="C49" i="9"/>
  <c r="D65" i="9"/>
  <c r="D115" i="9"/>
  <c r="C7" i="9"/>
  <c r="D15" i="9"/>
  <c r="D23" i="9"/>
  <c r="D31" i="9"/>
  <c r="C39" i="9"/>
  <c r="D47" i="9"/>
  <c r="C55" i="9"/>
  <c r="D64" i="9"/>
  <c r="D73" i="9"/>
  <c r="D87" i="9"/>
  <c r="D103" i="9"/>
  <c r="D119" i="9"/>
  <c r="D135" i="9"/>
  <c r="D151" i="9"/>
  <c r="D163" i="9"/>
  <c r="D171" i="9"/>
  <c r="C197" i="9"/>
  <c r="C229" i="9"/>
  <c r="D62" i="9"/>
  <c r="D78" i="9"/>
  <c r="D102" i="9"/>
  <c r="D110" i="9"/>
  <c r="D118" i="9"/>
  <c r="D126" i="9"/>
  <c r="D134" i="9"/>
  <c r="D142" i="9"/>
  <c r="D150" i="9"/>
  <c r="D158" i="9"/>
  <c r="C182" i="9"/>
  <c r="C198" i="9"/>
  <c r="C214" i="9"/>
  <c r="C230" i="9"/>
  <c r="C246" i="9"/>
  <c r="D18" i="9"/>
  <c r="D34" i="9"/>
  <c r="D46" i="9"/>
  <c r="C61" i="9"/>
  <c r="C104" i="9"/>
  <c r="D210" i="9"/>
  <c r="D9" i="9"/>
  <c r="C63" i="9"/>
  <c r="C79" i="9"/>
  <c r="C161" i="9"/>
  <c r="C54" i="9"/>
  <c r="C75" i="9"/>
  <c r="C112" i="9"/>
  <c r="C144" i="9"/>
  <c r="D226" i="9"/>
  <c r="D57" i="9"/>
  <c r="C91" i="9"/>
  <c r="C123" i="9"/>
  <c r="C139" i="9"/>
  <c r="C155" i="9"/>
  <c r="C169" i="9"/>
  <c r="C8" i="9"/>
  <c r="C16" i="9"/>
  <c r="C24" i="9"/>
  <c r="C32" i="9"/>
  <c r="C40" i="9"/>
  <c r="C48" i="9"/>
  <c r="C56" i="9"/>
  <c r="C67" i="9"/>
  <c r="C76" i="9"/>
  <c r="C92" i="9"/>
  <c r="C108" i="9"/>
  <c r="C124" i="9"/>
  <c r="C140" i="9"/>
  <c r="C156" i="9"/>
  <c r="D30" i="9"/>
  <c r="C136" i="9"/>
  <c r="D194" i="9"/>
  <c r="D17" i="9"/>
  <c r="D33" i="9"/>
  <c r="D41" i="9"/>
  <c r="C83" i="9"/>
  <c r="C3" i="9"/>
  <c r="C11" i="9"/>
  <c r="D19" i="9"/>
  <c r="D27" i="9"/>
  <c r="C35" i="9"/>
  <c r="C43" i="9"/>
  <c r="D51" i="9"/>
  <c r="D59" i="9"/>
  <c r="C71" i="9"/>
  <c r="C80" i="9"/>
  <c r="C95" i="9"/>
  <c r="C111" i="9"/>
  <c r="C127" i="9"/>
  <c r="C143" i="9"/>
  <c r="C159" i="9"/>
  <c r="C167" i="9"/>
  <c r="C66" i="9"/>
  <c r="C74" i="9"/>
  <c r="C82" i="9"/>
  <c r="C90" i="9"/>
  <c r="C98" i="9"/>
  <c r="C106" i="9"/>
  <c r="C114" i="9"/>
  <c r="C122" i="9"/>
  <c r="C130" i="9"/>
  <c r="C138" i="9"/>
  <c r="C146" i="9"/>
  <c r="C154" i="9"/>
  <c r="D174" i="9"/>
  <c r="D190" i="9"/>
  <c r="D206" i="9"/>
  <c r="D238" i="9"/>
  <c r="D254" i="9"/>
  <c r="C89" i="9"/>
  <c r="C97" i="9"/>
  <c r="C105" i="9"/>
  <c r="C113" i="9"/>
  <c r="C121" i="9"/>
  <c r="C129" i="9"/>
  <c r="C137" i="9"/>
  <c r="C145" i="9"/>
  <c r="C153" i="9"/>
  <c r="C160" i="9"/>
  <c r="C164" i="9"/>
  <c r="C168" i="9"/>
  <c r="C172" i="9"/>
  <c r="D185" i="9"/>
  <c r="D201" i="9"/>
  <c r="D217" i="9"/>
  <c r="D233" i="9"/>
  <c r="D249" i="9"/>
  <c r="C176" i="9"/>
  <c r="C184" i="9"/>
  <c r="C192" i="9"/>
  <c r="C200" i="9"/>
  <c r="C208" i="9"/>
  <c r="C216" i="9"/>
  <c r="C224" i="9"/>
  <c r="C232" i="9"/>
  <c r="C240" i="9"/>
  <c r="C248" i="9"/>
  <c r="C256" i="9"/>
  <c r="D179" i="9"/>
  <c r="D187" i="9"/>
  <c r="D195" i="9"/>
  <c r="D203" i="9"/>
  <c r="D211" i="9"/>
  <c r="D219" i="9"/>
  <c r="D227" i="9"/>
  <c r="D235" i="9"/>
  <c r="D243" i="9"/>
  <c r="D251" i="9"/>
  <c r="C18" i="9"/>
  <c r="C34" i="9"/>
  <c r="C46" i="9"/>
  <c r="D104" i="9"/>
  <c r="C210" i="9"/>
  <c r="C9" i="9"/>
  <c r="D63" i="9"/>
  <c r="D79" i="9"/>
  <c r="D161" i="9"/>
  <c r="D54" i="9"/>
  <c r="D75" i="9"/>
  <c r="D112" i="9"/>
  <c r="D144" i="9"/>
  <c r="C226" i="9"/>
  <c r="C29" i="9"/>
  <c r="D139" i="9"/>
  <c r="D32" i="9"/>
  <c r="D40" i="9"/>
  <c r="D108" i="9"/>
  <c r="C30" i="9"/>
  <c r="C58" i="9"/>
  <c r="C17" i="9"/>
  <c r="D83" i="9"/>
  <c r="C19" i="9"/>
  <c r="D43" i="9"/>
  <c r="C59" i="9"/>
  <c r="D111" i="9"/>
  <c r="D167" i="9"/>
  <c r="C174" i="9"/>
  <c r="C206" i="9"/>
  <c r="C222" i="9"/>
  <c r="C193" i="9"/>
  <c r="C225" i="9"/>
  <c r="C257" i="9"/>
  <c r="D180" i="9"/>
  <c r="D212" i="9"/>
  <c r="C175" i="9"/>
  <c r="C187" i="9"/>
  <c r="C199" i="9"/>
  <c r="C207" i="9"/>
  <c r="C219" i="9"/>
  <c r="D231" i="9"/>
  <c r="C239" i="9"/>
  <c r="C251" i="9"/>
  <c r="D191" i="9"/>
  <c r="C211" i="9"/>
  <c r="D223" i="9"/>
  <c r="C243" i="9"/>
  <c r="C57" i="9"/>
  <c r="C189" i="9"/>
  <c r="C221" i="9"/>
  <c r="D8" i="9"/>
  <c r="C33" i="9"/>
  <c r="D71" i="9"/>
  <c r="C181" i="9"/>
  <c r="C245" i="9"/>
  <c r="D114" i="9"/>
  <c r="D162" i="9"/>
  <c r="C249" i="9"/>
  <c r="C195" i="9"/>
  <c r="D207" i="9"/>
  <c r="C247" i="9"/>
  <c r="D123" i="9"/>
  <c r="D24" i="9"/>
  <c r="D67" i="9"/>
  <c r="C194" i="9"/>
  <c r="C53" i="9"/>
  <c r="D35" i="9"/>
  <c r="D95" i="9"/>
  <c r="D159" i="9"/>
  <c r="D82" i="9"/>
  <c r="D130" i="9"/>
  <c r="C254" i="9"/>
  <c r="D89" i="9"/>
  <c r="D97" i="9"/>
  <c r="D105" i="9"/>
  <c r="D113" i="9"/>
  <c r="D121" i="9"/>
  <c r="D129" i="9"/>
  <c r="D137" i="9"/>
  <c r="D145" i="9"/>
  <c r="D153" i="9"/>
  <c r="D160" i="9"/>
  <c r="D164" i="9"/>
  <c r="D168" i="9"/>
  <c r="C201" i="9"/>
  <c r="C233" i="9"/>
  <c r="C179" i="9"/>
  <c r="D199" i="9"/>
  <c r="C231" i="9"/>
  <c r="D255" i="9"/>
  <c r="D169" i="9"/>
  <c r="D127" i="9"/>
  <c r="D166" i="9"/>
  <c r="C185" i="9"/>
  <c r="D175" i="9"/>
  <c r="C227" i="9"/>
  <c r="D91" i="9"/>
  <c r="D16" i="9"/>
  <c r="D56" i="9"/>
  <c r="C202" i="9"/>
  <c r="C234" i="9"/>
  <c r="C10" i="9"/>
  <c r="C41" i="9"/>
  <c r="D11" i="9"/>
  <c r="C27" i="9"/>
  <c r="C51" i="9"/>
  <c r="D80" i="9"/>
  <c r="D143" i="9"/>
  <c r="C190" i="9"/>
  <c r="C238" i="9"/>
  <c r="C177" i="9"/>
  <c r="C209" i="9"/>
  <c r="C241" i="9"/>
  <c r="D176" i="9"/>
  <c r="D184" i="9"/>
  <c r="D192" i="9"/>
  <c r="D200" i="9"/>
  <c r="D208" i="9"/>
  <c r="D216" i="9"/>
  <c r="D224" i="9"/>
  <c r="D232" i="9"/>
  <c r="D240" i="9"/>
  <c r="D248" i="9"/>
  <c r="D256" i="9"/>
  <c r="D183" i="9"/>
  <c r="C191" i="9"/>
  <c r="C203" i="9"/>
  <c r="D215" i="9"/>
  <c r="C223" i="9"/>
  <c r="C235" i="9"/>
  <c r="D247" i="9"/>
  <c r="C255" i="9"/>
  <c r="D155" i="9"/>
  <c r="C253" i="9"/>
  <c r="D48" i="9"/>
  <c r="D136" i="9"/>
  <c r="D3" i="9"/>
  <c r="C213" i="9"/>
  <c r="D146" i="9"/>
  <c r="C217" i="9"/>
  <c r="C183" i="9"/>
  <c r="C215" i="9"/>
  <c r="D239" i="9"/>
  <c r="A48" i="8" l="1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Q35" i="6" l="1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33" i="8" l="1"/>
  <c r="A312" i="8"/>
  <c r="A349" i="8"/>
  <c r="A345" i="8"/>
  <c r="A341" i="8"/>
  <c r="A337" i="8"/>
  <c r="A336" i="8" l="1"/>
  <c r="A340" i="8"/>
  <c r="A344" i="8"/>
  <c r="A348" i="8"/>
  <c r="A338" i="8"/>
  <c r="A339" i="8"/>
  <c r="A342" i="8"/>
  <c r="A343" i="8"/>
  <c r="A346" i="8"/>
  <c r="A347" i="8"/>
  <c r="A350" i="8"/>
  <c r="A335" i="8"/>
  <c r="A52" i="8" l="1"/>
  <c r="A29" i="8" l="1"/>
  <c r="A28" i="8"/>
  <c r="A27" i="8"/>
  <c r="A26" i="8"/>
  <c r="A25" i="8"/>
  <c r="A24" i="8"/>
  <c r="A23" i="8"/>
  <c r="A22" i="8"/>
  <c r="A34" i="8"/>
  <c r="A13" i="8"/>
  <c r="A16" i="8"/>
  <c r="A314" i="8" l="1"/>
  <c r="A315" i="8"/>
  <c r="A316" i="8"/>
  <c r="A317" i="8"/>
  <c r="A318" i="8"/>
  <c r="A319" i="8"/>
  <c r="A320" i="8"/>
  <c r="A321" i="8"/>
  <c r="A323" i="8"/>
  <c r="A324" i="8"/>
  <c r="A325" i="8"/>
  <c r="A326" i="8"/>
  <c r="A327" i="8"/>
  <c r="A328" i="8"/>
  <c r="A329" i="8"/>
  <c r="A322" i="8"/>
  <c r="A15" i="8"/>
  <c r="A14" i="8"/>
  <c r="A12" i="8"/>
  <c r="A11" i="8"/>
  <c r="A4" i="8"/>
  <c r="A1" i="8"/>
  <c r="A2" i="9"/>
  <c r="D2" i="9" l="1"/>
  <c r="B2" i="9"/>
  <c r="C2" i="9"/>
</calcChain>
</file>

<file path=xl/sharedStrings.xml><?xml version="1.0" encoding="utf-8"?>
<sst xmlns="http://schemas.openxmlformats.org/spreadsheetml/2006/main" count="2196" uniqueCount="834">
  <si>
    <t>BRK</t>
  </si>
  <si>
    <t>ORA</t>
  </si>
  <si>
    <t>ASL</t>
  </si>
  <si>
    <t>PHP</t>
  </si>
  <si>
    <t>BPL</t>
  </si>
  <si>
    <t>CLC</t>
  </si>
  <si>
    <t>INC</t>
  </si>
  <si>
    <t>JSR</t>
  </si>
  <si>
    <t>AND</t>
  </si>
  <si>
    <t>BIT</t>
  </si>
  <si>
    <t>ROL</t>
  </si>
  <si>
    <t>PLP</t>
  </si>
  <si>
    <t>BMI</t>
  </si>
  <si>
    <t>SEC</t>
  </si>
  <si>
    <t>DEC</t>
  </si>
  <si>
    <t>RTI</t>
  </si>
  <si>
    <t>EOR</t>
  </si>
  <si>
    <t>LSR</t>
  </si>
  <si>
    <t>PHA</t>
  </si>
  <si>
    <t>JMP</t>
  </si>
  <si>
    <t>BVC</t>
  </si>
  <si>
    <t>CLI</t>
  </si>
  <si>
    <t>RTS</t>
  </si>
  <si>
    <t>ADC</t>
  </si>
  <si>
    <t>ROR</t>
  </si>
  <si>
    <t>PLA</t>
  </si>
  <si>
    <t>BVS</t>
  </si>
  <si>
    <t>SEI</t>
  </si>
  <si>
    <t>STA</t>
  </si>
  <si>
    <t>STY</t>
  </si>
  <si>
    <t>STX</t>
  </si>
  <si>
    <t>DEY</t>
  </si>
  <si>
    <t>TXA</t>
  </si>
  <si>
    <t>BCC</t>
  </si>
  <si>
    <t>TYA</t>
  </si>
  <si>
    <t>TXS</t>
  </si>
  <si>
    <t>LDY</t>
  </si>
  <si>
    <t>LDA</t>
  </si>
  <si>
    <t>LDX</t>
  </si>
  <si>
    <t>TAY</t>
  </si>
  <si>
    <t>TAX</t>
  </si>
  <si>
    <t>BCS</t>
  </si>
  <si>
    <t>CLV</t>
  </si>
  <si>
    <t>TSX</t>
  </si>
  <si>
    <t>CPY</t>
  </si>
  <si>
    <t>CMP</t>
  </si>
  <si>
    <t>INY</t>
  </si>
  <si>
    <t>DEX</t>
  </si>
  <si>
    <t>BNE</t>
  </si>
  <si>
    <t>CLD</t>
  </si>
  <si>
    <t>CPX</t>
  </si>
  <si>
    <t>SBC</t>
  </si>
  <si>
    <t>INX</t>
  </si>
  <si>
    <t>NOP</t>
  </si>
  <si>
    <t>BEQ</t>
  </si>
  <si>
    <t>SED</t>
  </si>
  <si>
    <t>OpCode</t>
  </si>
  <si>
    <t>Mode</t>
  </si>
  <si>
    <t>Cycles</t>
  </si>
  <si>
    <t>imm</t>
  </si>
  <si>
    <t>abs</t>
  </si>
  <si>
    <t>A</t>
  </si>
  <si>
    <t>B</t>
  </si>
  <si>
    <t>(abs)</t>
  </si>
  <si>
    <t>rel8</t>
  </si>
  <si>
    <t>abs,X</t>
  </si>
  <si>
    <t>abs,Y</t>
  </si>
  <si>
    <t>imp</t>
  </si>
  <si>
    <t>ORA ($10,X)</t>
  </si>
  <si>
    <t>ORA $10</t>
  </si>
  <si>
    <t>ASL $10</t>
  </si>
  <si>
    <t>ORA #$54</t>
  </si>
  <si>
    <t>ORA $9876</t>
  </si>
  <si>
    <t>ASL $9876</t>
  </si>
  <si>
    <t>BPL LABEL</t>
  </si>
  <si>
    <t>ORA ($10),Y</t>
  </si>
  <si>
    <t>ORA $10,X</t>
  </si>
  <si>
    <t>ASL $10,X</t>
  </si>
  <si>
    <t>ORA $9876,Y</t>
  </si>
  <si>
    <t>ORA $9876,X</t>
  </si>
  <si>
    <t>ASL $9876,X</t>
  </si>
  <si>
    <t>JSR $1234</t>
  </si>
  <si>
    <t>AND ($10,X)</t>
  </si>
  <si>
    <t>BIT $10</t>
  </si>
  <si>
    <t>AND $10</t>
  </si>
  <si>
    <t>ROL $10</t>
  </si>
  <si>
    <t>AND #$54</t>
  </si>
  <si>
    <t>BIT $9876</t>
  </si>
  <si>
    <t>AND $9876</t>
  </si>
  <si>
    <t>ROL $9876</t>
  </si>
  <si>
    <t>BMI LABEL</t>
  </si>
  <si>
    <t>AND ($10),Y</t>
  </si>
  <si>
    <t>AND $10,X</t>
  </si>
  <si>
    <t>ROL $10,X</t>
  </si>
  <si>
    <t>AND $9876,Y</t>
  </si>
  <si>
    <t>AND $9876,X</t>
  </si>
  <si>
    <t>ROL $9876,X</t>
  </si>
  <si>
    <t>EOR ($10,X)</t>
  </si>
  <si>
    <t>EOR $10</t>
  </si>
  <si>
    <t>LSR $10</t>
  </si>
  <si>
    <t>EOR #$54</t>
  </si>
  <si>
    <t>JMP $1234</t>
  </si>
  <si>
    <t>EOR $9876</t>
  </si>
  <si>
    <t>LSR $9876</t>
  </si>
  <si>
    <t>BVC LABEL</t>
  </si>
  <si>
    <t>EOR ($10),Y</t>
  </si>
  <si>
    <t>EOR $10,X</t>
  </si>
  <si>
    <t>EOR $9876,Y</t>
  </si>
  <si>
    <t>EOR $9876,X</t>
  </si>
  <si>
    <t>LSR $9876,X</t>
  </si>
  <si>
    <t>ADC ($10,X)</t>
  </si>
  <si>
    <t>ADC $10</t>
  </si>
  <si>
    <t>ROR $10</t>
  </si>
  <si>
    <t>ADC #$54</t>
  </si>
  <si>
    <t>JMP ($1234)</t>
  </si>
  <si>
    <t>ADC $9876</t>
  </si>
  <si>
    <t>ROR $9876</t>
  </si>
  <si>
    <t>BVS LABEL</t>
  </si>
  <si>
    <t>ADC ($10),Y</t>
  </si>
  <si>
    <t>ADC $10,X</t>
  </si>
  <si>
    <t>ROR $10,X</t>
  </si>
  <si>
    <t>ADC $9876,Y</t>
  </si>
  <si>
    <t>ADC $9876,X</t>
  </si>
  <si>
    <t>ROR $9876,X</t>
  </si>
  <si>
    <t>STA ($10,X)</t>
  </si>
  <si>
    <t>STY $10</t>
  </si>
  <si>
    <t>STA $10</t>
  </si>
  <si>
    <t>STX $10</t>
  </si>
  <si>
    <t>STY $9876</t>
  </si>
  <si>
    <t>STA $9876</t>
  </si>
  <si>
    <t>STX $9876</t>
  </si>
  <si>
    <t>BCC LABEL</t>
  </si>
  <si>
    <t>STA ($10),Y</t>
  </si>
  <si>
    <t>STY $10,X</t>
  </si>
  <si>
    <t>STA $10,X</t>
  </si>
  <si>
    <t>STX $10,Y</t>
  </si>
  <si>
    <t>STA $9876,Y</t>
  </si>
  <si>
    <t>STA $9876,X</t>
  </si>
  <si>
    <t>LDY #$54</t>
  </si>
  <si>
    <t>LDA ($10,X)</t>
  </si>
  <si>
    <t>LDX #$54</t>
  </si>
  <si>
    <t>LDY $10</t>
  </si>
  <si>
    <t>LDA $10</t>
  </si>
  <si>
    <t>LDX $10</t>
  </si>
  <si>
    <t>LDA #$54</t>
  </si>
  <si>
    <t>LDY $9876</t>
  </si>
  <si>
    <t>LDA $9876</t>
  </si>
  <si>
    <t>LDX $9876</t>
  </si>
  <si>
    <t>BCS LABEL</t>
  </si>
  <si>
    <t>LDA ($10),Y</t>
  </si>
  <si>
    <t>LDY $10,X</t>
  </si>
  <si>
    <t>LDA $10,X</t>
  </si>
  <si>
    <t>LDX $10,Y</t>
  </si>
  <si>
    <t>LDA $9876,Y</t>
  </si>
  <si>
    <t>LDY $9876,X</t>
  </si>
  <si>
    <t>LDA $9876,X</t>
  </si>
  <si>
    <t>LDX $9876,Y</t>
  </si>
  <si>
    <t>CPY #$54</t>
  </si>
  <si>
    <t>CMP ($10,X)</t>
  </si>
  <si>
    <t>CPY $10</t>
  </si>
  <si>
    <t>CMP $10</t>
  </si>
  <si>
    <t>DEC $10</t>
  </si>
  <si>
    <t>CMP #$54</t>
  </si>
  <si>
    <t>CPY $9876</t>
  </si>
  <si>
    <t>CMP $9876</t>
  </si>
  <si>
    <t>DEC $9876</t>
  </si>
  <si>
    <t>BNE LABEL</t>
  </si>
  <si>
    <t>CMP ($10),Y</t>
  </si>
  <si>
    <t>CMP $10,X</t>
  </si>
  <si>
    <t>DEC $10,X</t>
  </si>
  <si>
    <t>CMP $9876,Y</t>
  </si>
  <si>
    <t>CMP $9876,X</t>
  </si>
  <si>
    <t>DEC $9876,X</t>
  </si>
  <si>
    <t>CPX #$54</t>
  </si>
  <si>
    <t>SBC ($10,X)</t>
  </si>
  <si>
    <t>CPX $10</t>
  </si>
  <si>
    <t>SBC $10</t>
  </si>
  <si>
    <t>INC $10</t>
  </si>
  <si>
    <t>SBC #$54</t>
  </si>
  <si>
    <t>CPX $9876</t>
  </si>
  <si>
    <t>SBC $9876</t>
  </si>
  <si>
    <t>INC $9876</t>
  </si>
  <si>
    <t>BEQ LABEL</t>
  </si>
  <si>
    <t>SBC ($10),Y</t>
  </si>
  <si>
    <t>SBC $10,X</t>
  </si>
  <si>
    <t>INC $10,X</t>
  </si>
  <si>
    <t>SBC $9876,Y</t>
  </si>
  <si>
    <t>SBC $9876,X</t>
  </si>
  <si>
    <t>INC $9876,X</t>
  </si>
  <si>
    <t>C</t>
  </si>
  <si>
    <t>D</t>
  </si>
  <si>
    <t>E</t>
  </si>
  <si>
    <t>F</t>
  </si>
  <si>
    <t>CPU</t>
  </si>
  <si>
    <t>Registers</t>
  </si>
  <si>
    <t>X</t>
  </si>
  <si>
    <t>Y</t>
  </si>
  <si>
    <t>PC</t>
  </si>
  <si>
    <t>Flags</t>
  </si>
  <si>
    <t>c</t>
  </si>
  <si>
    <t>z</t>
  </si>
  <si>
    <t>n</t>
  </si>
  <si>
    <t>v</t>
  </si>
  <si>
    <t>d</t>
  </si>
  <si>
    <t xml:space="preserve"> </t>
  </si>
  <si>
    <t>## Instruction Set</t>
  </si>
  <si>
    <t>Example</t>
  </si>
  <si>
    <t>References</t>
  </si>
  <si>
    <t>http://6502.org/tutorials/65c816opcodes.html</t>
  </si>
  <si>
    <t>## Intro</t>
  </si>
  <si>
    <t>### Registers</t>
  </si>
  <si>
    <t>### Flags</t>
  </si>
  <si>
    <t>### OpCode Table</t>
  </si>
  <si>
    <t>## References</t>
  </si>
  <si>
    <t>the 16-bit program counter</t>
  </si>
  <si>
    <t>the processor status register</t>
  </si>
  <si>
    <t>P</t>
  </si>
  <si>
    <t>S</t>
  </si>
  <si>
    <t>the negative flag</t>
  </si>
  <si>
    <t>the overflow flag</t>
  </si>
  <si>
    <t>the decimal mode flag</t>
  </si>
  <si>
    <t>the zero flag</t>
  </si>
  <si>
    <t>the carry flag</t>
  </si>
  <si>
    <t>| Register | Description |</t>
  </si>
  <si>
    <t>| -----:| --- | --- | --- | --- | --- | --- | --- | --- | --- | --- | --- | --- | --- | --- | --- | --- |</t>
  </si>
  <si>
    <t>|:--------:|-------------|</t>
  </si>
  <si>
    <t>|:----:|-------------|</t>
  </si>
  <si>
    <t>### Adrress Mode</t>
  </si>
  <si>
    <t>| Mode | Description |</t>
  </si>
  <si>
    <t>Modes</t>
  </si>
  <si>
    <t>absolute</t>
  </si>
  <si>
    <t>(absolute)</t>
  </si>
  <si>
    <t>(direct page),Y</t>
  </si>
  <si>
    <t>(direct page,X)</t>
  </si>
  <si>
    <t>absolute,X</t>
  </si>
  <si>
    <t>absolute,Y</t>
  </si>
  <si>
    <t>direct page</t>
  </si>
  <si>
    <t>direct page,X</t>
  </si>
  <si>
    <t>direct page,Y</t>
  </si>
  <si>
    <t>immediate</t>
  </si>
  <si>
    <t>implicit</t>
  </si>
  <si>
    <t>Length</t>
  </si>
  <si>
    <t>Description</t>
  </si>
  <si>
    <t>the accumulator</t>
  </si>
  <si>
    <t>the 8-bit stack pointer</t>
  </si>
  <si>
    <t>the 8-bit X index register</t>
  </si>
  <si>
    <t>the 8-bit Y index register</t>
  </si>
  <si>
    <t>Inst</t>
  </si>
  <si>
    <t>Param</t>
  </si>
  <si>
    <t>Group</t>
  </si>
  <si>
    <t>abs_ind</t>
  </si>
  <si>
    <t>dp_ind</t>
  </si>
  <si>
    <t>(dp),Y</t>
  </si>
  <si>
    <t>dp_ind_idx</t>
  </si>
  <si>
    <t>dp_idx_ind</t>
  </si>
  <si>
    <t>(dp,X)</t>
  </si>
  <si>
    <t>dp</t>
  </si>
  <si>
    <t>abs_idx</t>
  </si>
  <si>
    <t>dp,X</t>
  </si>
  <si>
    <t>dp_idx</t>
  </si>
  <si>
    <t>dp,Y</t>
  </si>
  <si>
    <t>rel</t>
  </si>
  <si>
    <t>Name</t>
  </si>
  <si>
    <t>special</t>
  </si>
  <si>
    <t>....01..</t>
  </si>
  <si>
    <t>........</t>
  </si>
  <si>
    <t>.......0</t>
  </si>
  <si>
    <t>.......1</t>
  </si>
  <si>
    <t>.....0..</t>
  </si>
  <si>
    <t>.....1..</t>
  </si>
  <si>
    <t>.0......</t>
  </si>
  <si>
    <t>....0...</t>
  </si>
  <si>
    <t>....1...</t>
  </si>
  <si>
    <t>N.....Z.</t>
  </si>
  <si>
    <t>NV....ZC</t>
  </si>
  <si>
    <t>N.....ZC</t>
  </si>
  <si>
    <t>0.....ZC</t>
  </si>
  <si>
    <t>NV....Z.</t>
  </si>
  <si>
    <t>Y &lt;- byte_2</t>
  </si>
  <si>
    <t>X &lt;- byte_2</t>
  </si>
  <si>
    <t>A &lt;- byte_2</t>
  </si>
  <si>
    <t>d &lt;- 1</t>
  </si>
  <si>
    <t>c &lt;- 0</t>
  </si>
  <si>
    <t>c &lt;- 1</t>
  </si>
  <si>
    <t>i &lt;- 0</t>
  </si>
  <si>
    <t>i &lt;- 1</t>
  </si>
  <si>
    <t>No operation</t>
  </si>
  <si>
    <t>A &lt;- X</t>
  </si>
  <si>
    <t>A &lt;- Y</t>
  </si>
  <si>
    <t>Y &lt;- A</t>
  </si>
  <si>
    <t>X &lt;- A</t>
  </si>
  <si>
    <t>S &lt;- X</t>
  </si>
  <si>
    <t>v &lt;- 0</t>
  </si>
  <si>
    <t>X &lt;- S</t>
  </si>
  <si>
    <t>NV??DIZC</t>
  </si>
  <si>
    <t>2|3</t>
  </si>
  <si>
    <t>MA &lt;- byte_2 + 256 * byte_3; PC &lt;- MA</t>
  </si>
  <si>
    <t>t &lt;- Y - byte_2</t>
  </si>
  <si>
    <t>t &lt;- A - byte_2</t>
  </si>
  <si>
    <t>t &lt;- X - byte_2</t>
  </si>
  <si>
    <t>(SP) &lt;- P</t>
  </si>
  <si>
    <t>P &lt;- (SP)</t>
  </si>
  <si>
    <t>A &lt;- (SP)</t>
  </si>
  <si>
    <t>PC &lt;- (SP)</t>
  </si>
  <si>
    <t>(SP) &lt;- A</t>
  </si>
  <si>
    <t>if N , PC &lt;- PC + byte_2</t>
  </si>
  <si>
    <t>if V , PC &lt;- PC + byte_2</t>
  </si>
  <si>
    <t>if C , PC &lt;- PC + byte_2</t>
  </si>
  <si>
    <t>if !C , PC &lt;- PC + byte_2</t>
  </si>
  <si>
    <t>if !Z , PC &lt;- PC + byte_2</t>
  </si>
  <si>
    <t>if Z , PC &lt;- PC + byte_2</t>
  </si>
  <si>
    <t>branch</t>
  </si>
  <si>
    <t>if !V , PC &lt;- PC + byte_2</t>
  </si>
  <si>
    <t>if !N , PC &lt;- PC + byte_2</t>
  </si>
  <si>
    <t>MA &lt;- byte_2 + 256 * byte_3; (SP) &lt;- PC; PC &lt;- MA</t>
  </si>
  <si>
    <t>MA &lt;- byte_2 + 256 * byte_3; A &lt;- (MA)</t>
  </si>
  <si>
    <t>MA &lt;- byte_2 + X; A &lt;- (MA)</t>
  </si>
  <si>
    <t xml:space="preserve">MA &lt;- byte_2 + 256 * byte_3 + Y; A &lt;- (MA) </t>
  </si>
  <si>
    <t xml:space="preserve">MA &lt;- byte_2 + 256 * byte_3 + X; A &lt;- (MA) </t>
  </si>
  <si>
    <t>MA &lt;- byte_2 + 256 * byte_3; Y &lt;- (MA)</t>
  </si>
  <si>
    <t>MA &lt;- byte_2 + 256 * byte_3; X &lt;- (MA)</t>
  </si>
  <si>
    <t>MA &lt;- byte_2 + X; Y &lt;- (MA)</t>
  </si>
  <si>
    <t>MA &lt;- byte_2 + Y; X &lt;- (MA)</t>
  </si>
  <si>
    <t xml:space="preserve">MA &lt;- byte_2 + 256 * byte_3 + X; Y &lt;- (MA) </t>
  </si>
  <si>
    <t xml:space="preserve">MA &lt;- byte_2 + 256 * byte_3 + Y; X &lt;- (MA) </t>
  </si>
  <si>
    <t>MA &lt;- byte_2 + 256 * byte_3; (MA) &lt;- A</t>
  </si>
  <si>
    <t>MA &lt;- byte_2 + X; (MA) &lt;- A</t>
  </si>
  <si>
    <t>MA &lt;- byte_2 + 256 * byte_3 + Y; (MA) &lt;- A</t>
  </si>
  <si>
    <t>MA &lt;- byte_2 + 256 * byte_3 + X; (MA) &lt;- A</t>
  </si>
  <si>
    <t>MA &lt;- byte_2 + 256 * byte_3; (MA) &lt;- Y</t>
  </si>
  <si>
    <t>MA &lt;- byte_2 + 256 * byte_3; (MA) &lt;- X</t>
  </si>
  <si>
    <t>MA &lt;- byte_2 + X; (MA) &lt;- Y</t>
  </si>
  <si>
    <t>MA &lt;- byte_2 + Y; (MA) &lt;- X</t>
  </si>
  <si>
    <t>arith</t>
  </si>
  <si>
    <t>logic</t>
  </si>
  <si>
    <t>control</t>
  </si>
  <si>
    <t>data</t>
  </si>
  <si>
    <t>stack</t>
  </si>
  <si>
    <t>-</t>
  </si>
  <si>
    <t>unused (always 1)</t>
  </si>
  <si>
    <t>b</t>
  </si>
  <si>
    <t>i</t>
  </si>
  <si>
    <t>the interrupt disable flag</t>
  </si>
  <si>
    <t>the break flag</t>
  </si>
  <si>
    <t>PC relative (8bit)</t>
  </si>
  <si>
    <t>bit</t>
  </si>
  <si>
    <t>| Flag | bit | Description |</t>
  </si>
  <si>
    <t>|:----:|-----|-------------|</t>
  </si>
  <si>
    <t>|:------:| ---- | ----- | ----- | ------:| ------:| -------------- | ------- | ----------- |</t>
  </si>
  <si>
    <t>**Undocumented opcodes**</t>
  </si>
  <si>
    <t>U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</si>
  <si>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</si>
  <si>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</si>
  <si>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</si>
  <si>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</si>
  <si>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</si>
  <si>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</si>
  <si>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</si>
  <si>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</si>
  <si>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</si>
  <si>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</si>
  <si>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</si>
  <si>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</si>
  <si>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</si>
  <si>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</si>
  <si>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</si>
  <si>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</si>
  <si>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</si>
  <si>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</si>
  <si>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</si>
  <si>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</si>
  <si>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</si>
  <si>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</si>
  <si>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</si>
  <si>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</si>
  <si>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</si>
  <si>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</si>
  <si>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</si>
  <si>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</si>
  <si>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</si>
  <si>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</si>
  <si>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</si>
  <si>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</si>
  <si>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</si>
  <si>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</si>
  <si>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</si>
  <si>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</si>
  <si>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</si>
  <si>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</si>
  <si>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</si>
  <si>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</si>
  <si>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</si>
  <si>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</si>
  <si>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</si>
  <si>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</si>
  <si>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</si>
  <si>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</si>
  <si>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</si>
  <si>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</si>
  <si>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</si>
  <si>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</si>
  <si>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</si>
  <si>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</si>
  <si>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</si>
  <si>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</si>
  <si>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</si>
  <si>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</si>
  <si>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</si>
  <si>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</si>
  <si>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</si>
  <si>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</si>
  <si>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</si>
  <si>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</si>
  <si>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</si>
  <si>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</si>
  <si>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</si>
  <si>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</si>
  <si>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</si>
  <si>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</si>
  <si>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</si>
  <si>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</si>
  <si>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</si>
  <si>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</si>
  <si>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</si>
  <si>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</si>
  <si>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</si>
  <si>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</si>
  <si>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</si>
  <si>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</si>
  <si>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</si>
  <si>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</si>
  <si>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</si>
  <si>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</si>
  <si>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</si>
  <si>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</si>
  <si>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</si>
  <si>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</si>
  <si>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</si>
  <si>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</si>
  <si>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</si>
  <si>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</si>
  <si>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</si>
  <si>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</si>
  <si>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</si>
  <si>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</si>
  <si>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</si>
  <si>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</si>
  <si>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</si>
  <si>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</si>
  <si>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</si>
  <si>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</si>
  <si>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</si>
  <si>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</si>
  <si>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</si>
  <si>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</si>
  <si>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</si>
  <si>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</si>
  <si>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</si>
  <si>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</si>
  <si>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</si>
  <si>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</si>
  <si>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</si>
  <si>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</si>
  <si>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</si>
  <si>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</si>
  <si>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</si>
  <si>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</si>
  <si>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</si>
  <si>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</si>
  <si>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</si>
  <si>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</si>
  <si>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</si>
  <si>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</si>
  <si>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</si>
  <si>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</si>
  <si>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</si>
  <si>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</si>
  <si>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</si>
  <si>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</si>
  <si>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</si>
  <si>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</si>
  <si>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</si>
  <si>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</si>
  <si>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</si>
  <si>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</si>
  <si>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</si>
  <si>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</si>
  <si>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</si>
  <si>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</si>
  <si>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</si>
  <si>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</si>
  <si>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</si>
  <si>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</si>
  <si>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</si>
  <si>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</si>
  <si>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</si>
  <si>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</si>
  <si>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</si>
  <si>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</si>
  <si>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</si>
  <si>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</si>
  <si>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</si>
  <si>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</si>
  <si>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</si>
  <si>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</si>
  <si>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</si>
  <si>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</si>
  <si>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</si>
  <si>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</si>
  <si>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</si>
  <si>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</si>
  <si>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</si>
  <si>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</si>
  <si>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</si>
  <si>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</si>
  <si>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</si>
  <si>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</si>
  <si>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</si>
  <si>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</si>
  <si>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</si>
  <si>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</si>
  <si>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</si>
  <si>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</si>
  <si>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</si>
  <si>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</si>
  <si>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</si>
  <si>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</si>
  <si>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</si>
  <si>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</si>
  <si>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</si>
  <si>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</si>
  <si>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</si>
  <si>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</si>
  <si>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</si>
  <si>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</si>
  <si>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</si>
  <si>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</si>
  <si>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</si>
  <si>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</si>
  <si>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</si>
  <si>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</si>
  <si>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</si>
  <si>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</si>
  <si>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</si>
  <si>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</si>
  <si>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</si>
  <si>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</si>
  <si>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</si>
  <si>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</si>
  <si>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</si>
  <si>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</si>
  <si>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</si>
  <si>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</si>
  <si>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</si>
  <si>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</si>
  <si>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</si>
  <si>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</si>
  <si>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</si>
  <si>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</si>
  <si>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</si>
  <si>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</si>
  <si>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</si>
  <si>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</si>
  <si>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</si>
  <si>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</si>
  <si>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</si>
  <si>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</si>
  <si>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</si>
  <si>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</si>
  <si>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</si>
  <si>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</si>
  <si>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</si>
  <si>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</si>
  <si>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</si>
  <si>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</si>
  <si>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</si>
  <si>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</si>
  <si>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</si>
  <si>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</si>
  <si>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</si>
  <si>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</si>
  <si>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</si>
  <si>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</si>
  <si>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</si>
  <si>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</si>
  <si>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</si>
  <si>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</si>
  <si>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</si>
  <si>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</si>
  <si>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</si>
  <si>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</si>
  <si>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</si>
  <si>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</si>
  <si>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</si>
  <si>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</si>
  <si>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</si>
  <si>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</si>
  <si>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</si>
  <si>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</si>
  <si>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</si>
  <si>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</si>
  <si>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</si>
  <si>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</si>
  <si>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</si>
  <si>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</si>
  <si>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</si>
  <si>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</si>
  <si>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65C02</t>
  </si>
  <si>
    <t>TSB</t>
  </si>
  <si>
    <t>......Z.</t>
  </si>
  <si>
    <t>Test Set Bit</t>
  </si>
  <si>
    <t>TRB</t>
  </si>
  <si>
    <t>Teset Reset Bit</t>
  </si>
  <si>
    <t>WAI</t>
  </si>
  <si>
    <t>STP</t>
  </si>
  <si>
    <t>PHY</t>
  </si>
  <si>
    <t>PLY</t>
  </si>
  <si>
    <t>PHX</t>
  </si>
  <si>
    <t>PLX</t>
  </si>
  <si>
    <t>(dp)</t>
  </si>
  <si>
    <t>dp_rel</t>
  </si>
  <si>
    <t>dp,rel8</t>
  </si>
  <si>
    <t>BBR0</t>
  </si>
  <si>
    <t>BBR1</t>
  </si>
  <si>
    <t>BBR2</t>
  </si>
  <si>
    <t>BBR3</t>
  </si>
  <si>
    <t>BBR4</t>
  </si>
  <si>
    <t>BBR5</t>
  </si>
  <si>
    <t>BBR6</t>
  </si>
  <si>
    <t>BBR7</t>
  </si>
  <si>
    <t>BBS0</t>
  </si>
  <si>
    <t>BBS1</t>
  </si>
  <si>
    <t>BBS2</t>
  </si>
  <si>
    <t>BBS4</t>
  </si>
  <si>
    <t>BBS5</t>
  </si>
  <si>
    <t>BBS6</t>
  </si>
  <si>
    <t>BBS7</t>
  </si>
  <si>
    <t>BBS3</t>
  </si>
  <si>
    <t>Branch on Bit Set. Tests a specific bit of a byte held on zero page and causes a branch of the bit is set (1)</t>
  </si>
  <si>
    <t>Branch on Bit Reset. Tests a specific bit of a byte held on zero page and causes a branch of the bit is resest (0)</t>
  </si>
  <si>
    <t>RMB0</t>
  </si>
  <si>
    <t>RMB1</t>
  </si>
  <si>
    <t>RMB2</t>
  </si>
  <si>
    <t>RMB3</t>
  </si>
  <si>
    <t>RMB4</t>
  </si>
  <si>
    <t>RMB5</t>
  </si>
  <si>
    <t>RMB6</t>
  </si>
  <si>
    <t>RMB7</t>
  </si>
  <si>
    <t>SMB0</t>
  </si>
  <si>
    <t>SMB1</t>
  </si>
  <si>
    <t>SMB2</t>
  </si>
  <si>
    <t>SMB3</t>
  </si>
  <si>
    <t>SMB4</t>
  </si>
  <si>
    <t>SMB5</t>
  </si>
  <si>
    <t>SMB6</t>
  </si>
  <si>
    <t>SMB7</t>
  </si>
  <si>
    <t xml:space="preserve">Reset Memory Bit. Resets a specific bit of a byte held on zero page. </t>
  </si>
  <si>
    <t xml:space="preserve">Set Memory Bit. Sets a specific bit of a byte held on zero page. </t>
  </si>
  <si>
    <t>STZ</t>
  </si>
  <si>
    <t>(abs,X)</t>
  </si>
  <si>
    <t>BRA</t>
  </si>
  <si>
    <t>R</t>
  </si>
  <si>
    <t>abs_idx_ind</t>
  </si>
  <si>
    <t>Y &lt;- (SP)</t>
  </si>
  <si>
    <t>X &lt;- (SP)</t>
  </si>
  <si>
    <t>(SP) &lt;- Y</t>
  </si>
  <si>
    <t>(SP) &lt;- X</t>
  </si>
  <si>
    <t>MA &lt;- byte_2 + X; (MA) &lt;- 0</t>
  </si>
  <si>
    <t>Stop Processor</t>
  </si>
  <si>
    <t>Stop Processor until Interrupt</t>
  </si>
  <si>
    <t>INC A</t>
  </si>
  <si>
    <t>DEC A</t>
  </si>
  <si>
    <t>TSB $9876</t>
  </si>
  <si>
    <t>RMB0 $10</t>
  </si>
  <si>
    <t>TSB $10</t>
  </si>
  <si>
    <t>BBR0 $10,LABEL</t>
  </si>
  <si>
    <t>ORA ($10)</t>
  </si>
  <si>
    <t>TRB $10</t>
  </si>
  <si>
    <t>RMB1 $10</t>
  </si>
  <si>
    <t>TRB $9876</t>
  </si>
  <si>
    <t>BBR1 $10,LABEL</t>
  </si>
  <si>
    <t>RMB2 $10</t>
  </si>
  <si>
    <t>BBR2 $10,LABEL</t>
  </si>
  <si>
    <t>AND ($10)</t>
  </si>
  <si>
    <t>BIT $10,X</t>
  </si>
  <si>
    <t>RMB3 $10</t>
  </si>
  <si>
    <t>BIT $9876,X</t>
  </si>
  <si>
    <t>BBR3 $10,LABEL</t>
  </si>
  <si>
    <t>RMB4 $10</t>
  </si>
  <si>
    <t>BBR4 $10,LABEL</t>
  </si>
  <si>
    <t>EOR ($10)</t>
  </si>
  <si>
    <t>LSR $10,X</t>
  </si>
  <si>
    <t>RMB5 $10</t>
  </si>
  <si>
    <t>BBR5 $10,LABEL</t>
  </si>
  <si>
    <t>STZ $10</t>
  </si>
  <si>
    <t>RMB6 $10</t>
  </si>
  <si>
    <t>BBR6 $10,LABEL</t>
  </si>
  <si>
    <t>ADC ($10)</t>
  </si>
  <si>
    <t>STZ $10,X</t>
  </si>
  <si>
    <t>RMB7 $10</t>
  </si>
  <si>
    <t>JMP ($9876,X)</t>
  </si>
  <si>
    <t>BBR7 $10,LABEL</t>
  </si>
  <si>
    <t>BRA LABEL</t>
  </si>
  <si>
    <t>SMB0 $10</t>
  </si>
  <si>
    <t>BIT #$54</t>
  </si>
  <si>
    <t>BBS0 $10,LABEL</t>
  </si>
  <si>
    <t>STA ($10)</t>
  </si>
  <si>
    <t>SMB1 $10</t>
  </si>
  <si>
    <t>STZ $9876</t>
  </si>
  <si>
    <t>STZ $9876,X</t>
  </si>
  <si>
    <t>BBS1 $10,LABEL</t>
  </si>
  <si>
    <t>SMB2 $10</t>
  </si>
  <si>
    <t>BBS2 $10,LABEL</t>
  </si>
  <si>
    <t>LDA ($10)</t>
  </si>
  <si>
    <t>SMB3 $10</t>
  </si>
  <si>
    <t>BBS3 $10,LABEL</t>
  </si>
  <si>
    <t>SMB4 $10</t>
  </si>
  <si>
    <t>BBS4 $10,LABEL</t>
  </si>
  <si>
    <t>CMP ($10)</t>
  </si>
  <si>
    <t>SMB5 $10</t>
  </si>
  <si>
    <t>BBS5 $10,LABEL</t>
  </si>
  <si>
    <t>SMB6 $10</t>
  </si>
  <si>
    <t>BBS6 $10,LABEL</t>
  </si>
  <si>
    <t>SMB7 $10</t>
  </si>
  <si>
    <t>SBC ($10)</t>
  </si>
  <si>
    <t>BBS7 $10,LABEL</t>
  </si>
  <si>
    <t>PC &lt;- PC + byte_2</t>
  </si>
  <si>
    <t>MA &lt;- byte_2; MV &lt;- (MA); t &lt;- MV &lt;&lt; 1; (MA) &lt;- t</t>
  </si>
  <si>
    <t>t &lt;- A &lt;&lt; 1; A &lt;- t</t>
  </si>
  <si>
    <t>MA &lt;- byte_2 + 256 * byte_3; MV &lt;- (MA); t &lt;- MV &lt;&lt; 1; (MA) &lt;- t</t>
  </si>
  <si>
    <t>MA &lt;- byte_2 + X; MV &lt;- (MA); t &lt;- MV &lt;&lt; 1; (MA) &lt;- t</t>
  </si>
  <si>
    <t>MA &lt;- byte_2 + 256 * byte_3 + X; MV &lt;- (MA); t &lt;- MV &lt;&lt; 1; (MA) &lt;- t</t>
  </si>
  <si>
    <t>MA &lt;- byte_2 + X; MA &lt;- (MA); MV &lt;- (MA); t &lt;- A &amp; MV; A &lt;- t</t>
  </si>
  <si>
    <t>MA &lt;- byte_2; MV &lt;- (MA); t &lt;- A &amp; MV</t>
  </si>
  <si>
    <t>MA &lt;- byte_2; MV &lt;- (MA); t &lt;- A &amp; (MA); A &lt;- t</t>
  </si>
  <si>
    <t>t &lt;- A &amp; byte_2; A &lt;- t</t>
  </si>
  <si>
    <t>MA &lt;- byte_2 + 256 * byte_3; MV &lt;- (MA); t &lt;- A &amp; MV</t>
  </si>
  <si>
    <t>MA &lt;- byte_2 + 256 * byte_3; MV &lt;- (MA); t &lt;- A &amp; MV; A &lt;- t</t>
  </si>
  <si>
    <t>MA &lt;- byte_2; MA &lt;- (MA) + Y; MV &lt;- (MA); t &lt;- A &amp; MV; A &lt;- t</t>
  </si>
  <si>
    <t>MA &lt;- byte_2 + X; MV &lt;- (MA); t &lt;- A &amp; MV; A &lt;- t</t>
  </si>
  <si>
    <t>MA &lt;- byte_2 + 256 * byte_3 + Y; MV &lt;- (MA); t &lt;- A &amp; MV; A &lt;- t</t>
  </si>
  <si>
    <t>MA &lt;- byte_2 + 256 * byte_3 + X; MV &lt;- (MA); t &lt;- A &amp; MV; A &lt;- t</t>
  </si>
  <si>
    <t>P &lt;- (SP); PC &lt;- (SP)</t>
  </si>
  <si>
    <t>MA &lt;- byte_2 + X; MA &lt;- (MA); MV &lt;- (MA); t &lt;- A ^ MV; A &lt;- t</t>
  </si>
  <si>
    <t>MA &lt;- byte_2; MV &lt;- (MA); t &lt;- A ^ MV; A &lt;- t</t>
  </si>
  <si>
    <t>MA &lt;- byte_2; MV &lt;- (MA); t &lt;- MV &gt;&gt; 1; (MA) &lt;- t</t>
  </si>
  <si>
    <t>t &lt;- A ^ byte_2; A &lt;- t</t>
  </si>
  <si>
    <t>t &lt;- A &gt;&gt; 1; A &lt;- t</t>
  </si>
  <si>
    <t>MA &lt;- byte_2 + 256 * byte_3; MV &lt;- (MA); t &lt;- A ^ MV; A &lt;- t</t>
  </si>
  <si>
    <t>MA &lt;- byte_2 + 256 * byte_3; MV &lt;- (MA); t &lt;- MV &gt;&gt; 1; (MA) &lt;- t</t>
  </si>
  <si>
    <t>MA &lt;- byte_2; MA &lt;- (MA) + Y; MV &lt;- (MA); t &lt;- A ^ MV; A &lt;- t</t>
  </si>
  <si>
    <t>MA &lt;- byte_2 + X; MV &lt;- (MA); t &lt;- A ^ MV; A &lt;- t</t>
  </si>
  <si>
    <t>MA &lt;- byte_2 + 256 * byte_3 + Y; MV &lt;- (MA); t &lt;- A ^ MV; A &lt;- t</t>
  </si>
  <si>
    <t>MA &lt;- byte_2 + 256 * byte_3 + X; MV &lt;- (MA); t &lt;- A ^ MV; A &lt;- t</t>
  </si>
  <si>
    <t>MA &lt;- byte_2 + 256 * byte_3 + X; MV &lt;- (MA); t &lt;- MV &gt;&gt; 1; (MA) &lt;- t</t>
  </si>
  <si>
    <t>MA &lt;- byte_2 + X; MA &lt;- (MA); MV &lt;- (MA); t &lt;- A + MV + c; A &lt;- t</t>
  </si>
  <si>
    <t>MA &lt;- byte_2; (MA) &lt;- 0</t>
  </si>
  <si>
    <t>MA &lt;- byte_2; MV &lt;- (MA); t &lt;- A + MV + c; A &lt;- t</t>
  </si>
  <si>
    <t>t &lt;- A + byte_2 + c; A &lt;- t</t>
  </si>
  <si>
    <t>MA &lt;- byte_2 + 256 * byte_3; MA &lt;- (MA); PC &lt;- MA</t>
  </si>
  <si>
    <t>MA &lt;- byte_2 + 256 * byte_3; MV &lt;- (MA); t &lt;- A + MV + c; A &lt;- t</t>
  </si>
  <si>
    <t>MA &lt;- byte_2; MA &lt;- (MA) + Y; MV &lt;- (MA); t &lt;- A + MV + c; A &lt;- t</t>
  </si>
  <si>
    <t>MA &lt;- byte_2 + X; MV &lt;- (MA); t &lt;- A + MV + c; A &lt;- t</t>
  </si>
  <si>
    <t>MA &lt;- byte_2 + X; MV &lt;- (MA); t &lt;- MV &gt;&gt; 1; (MA) &lt;- t</t>
  </si>
  <si>
    <t>MA &lt;- byte_2 + 256 * byte_3 + Y; MV &lt;- (MA); t &lt;- A + MV + c; A &lt;- t</t>
  </si>
  <si>
    <t>MA &lt;- byte_2 + 256 * byte_3 + X; MV &lt;- (MA); t &lt;- A + MV + c; A &lt;- t</t>
  </si>
  <si>
    <t>MA &lt;- byte_2 + X; MA &lt;- (MA); (MA) &lt;- A</t>
  </si>
  <si>
    <t>MA &lt;- byte_2; (MA) &lt;- Y</t>
  </si>
  <si>
    <t>MA &lt;- byte_2; (MA) &lt;- A</t>
  </si>
  <si>
    <t>MA &lt;- byte_2; (MA) &lt;- X</t>
  </si>
  <si>
    <t>t &lt;- Y - 1; Y &lt;- t</t>
  </si>
  <si>
    <t>MA &lt;- byte_2; MA &lt;- (MA) + Y; (MA) &lt;- A</t>
  </si>
  <si>
    <t>MA &lt;- byte_2; MA &lt;- (MA); (MA) &lt;- A</t>
  </si>
  <si>
    <t>MA &lt;- byte_2 + 256 * byte_3; (MA) &lt;- 0</t>
  </si>
  <si>
    <t>MA &lt;- byte_2 + 256 * byte_3 + X; (MA) &lt;- 0</t>
  </si>
  <si>
    <t>MA &lt;- byte_2 + X; MA &lt;- (MA); A &lt;- (MA)</t>
  </si>
  <si>
    <t>MA &lt;- byte_2; Y &lt;- (MA)</t>
  </si>
  <si>
    <t>MA &lt;- byte_2; A &lt;- (MA)</t>
  </si>
  <si>
    <t>MA &lt;- byte_2; X &lt;- (MA)</t>
  </si>
  <si>
    <t>MA &lt;- byte_2; MA &lt;- (MA) + Y; A &lt;- (MA)</t>
  </si>
  <si>
    <t xml:space="preserve">MA &lt;- byte_2 + X; MA &lt;- (MA); MV &lt;- (MA); t &lt;- A - MV </t>
  </si>
  <si>
    <t>MA &lt;- byte_2; MV &lt;- (MA); t &lt;- Y - MV</t>
  </si>
  <si>
    <t xml:space="preserve">MA &lt;- byte_2; MV &lt;- (MA); t &lt;- A - MV </t>
  </si>
  <si>
    <t>MA &lt;- byte_2; MV &lt;- (MA); t &lt;- MV - 1; (MA) &lt;- t</t>
  </si>
  <si>
    <t>t &lt;- Y + 1; Y &lt;- t</t>
  </si>
  <si>
    <t>t &lt;- X - 1; X &lt;- t</t>
  </si>
  <si>
    <t>MA &lt;- byte_2 + 256 * byte_3; MV &lt;- (MA); t &lt;- Y - MV</t>
  </si>
  <si>
    <t xml:space="preserve">MA &lt;- byte_2 + 256 * byte_3; MV &lt;- (MA); t &lt;- A - MV  </t>
  </si>
  <si>
    <t>MA &lt;- byte_2 + 256 * byte_3; MV &lt;- (MA); t &lt;- MV - 1; (MA) &lt;- t</t>
  </si>
  <si>
    <t>MA &lt;- byte_2; MA &lt;- (MA) + Y; MV &lt;- (MA); t &lt;- A - MV</t>
  </si>
  <si>
    <t>MA &lt;- byte_2; MA &lt;- (MA); MV &lt;- (MA); t &lt;- A - MV</t>
  </si>
  <si>
    <t xml:space="preserve">MA &lt;- byte_2 + X; MV &lt;- (MA); t &lt;- A - MV </t>
  </si>
  <si>
    <t>MA &lt;- byte_2 + X; MV &lt;- (MA); t &lt;- MV - 1; (MA) &lt;- t</t>
  </si>
  <si>
    <t xml:space="preserve">MA &lt;- byte_2 + 256 * byte_3 + Y; MV &lt;- (MA); t &lt;- A - MV </t>
  </si>
  <si>
    <t xml:space="preserve">MA &lt;- byte_2 + 256 * byte_3 + X; MV &lt;- (MA); t &lt;- A - MV </t>
  </si>
  <si>
    <t>MA &lt;- byte_2 + 256 * byte_3 + X; MV &lt;- (MA); t &lt;- MV - 1; (MA) &lt;- t</t>
  </si>
  <si>
    <t>MA &lt;- byte_2 + X; MA &lt;- (MA); MV &lt;- (MA); t &lt;- A - MV - c; A &lt;- t</t>
  </si>
  <si>
    <t>MA &lt;- byte_2; MV &lt;- (MA); t &lt;- X - MV</t>
  </si>
  <si>
    <t>MA &lt;- byte_2; MV &lt;- (MA); t &lt;- A - MV - c; A &lt;- t</t>
  </si>
  <si>
    <t>MA &lt;- byte_2; MV &lt;- (MA); t &lt;- MV + 1; (MA) &lt;- t</t>
  </si>
  <si>
    <t>t &lt;- X + 1; X &lt;- t</t>
  </si>
  <si>
    <t>t &lt;- A - byte_2 - c; A &lt;- t</t>
  </si>
  <si>
    <t>MA &lt;- byte_2 + 256 * byte_3; MV &lt;- (MA); t &lt;- X - MV</t>
  </si>
  <si>
    <t>MA &lt;- byte_2 + 256 * byte_3; MV &lt;- (MA); t &lt;- A - MV - c; A &lt;- t</t>
  </si>
  <si>
    <t>MA &lt;- byte_2 + 256 * byte_3; MV &lt;- (MA); t &lt;- MV + 1; (MA) &lt;- t</t>
  </si>
  <si>
    <t>MA &lt;- byte_2; MA &lt;- (MA) + Y; MV &lt;- (MA); t &lt;- A - MV - c; A &lt;- t</t>
  </si>
  <si>
    <t>MA &lt;- byte_2 + X; MV &lt;- (MA); t &lt;- A - MV - c; A &lt;- t</t>
  </si>
  <si>
    <t>MA &lt;- byte_2 + X; MV &lt;- (MA); t &lt;- MV + 1; (MA) &lt;- t</t>
  </si>
  <si>
    <t>MA &lt;- byte_2 + 256 * byte_3 + Y; MV &lt;- (MA); t &lt;- A - MV - c; A &lt;- t</t>
  </si>
  <si>
    <t>MA &lt;- byte_2 + 256 * byte_3 + X; MV &lt;- (MA); t &lt;- A - MV - c; A &lt;- t</t>
  </si>
  <si>
    <t>MA &lt;- byte_2 + 256 * byte_3 + X; MV &lt;- (MA); t &lt;- MV + 1; (MA) &lt;- t</t>
  </si>
  <si>
    <t>A &lt;- A + 1</t>
  </si>
  <si>
    <t>A &lt;- A - 1</t>
  </si>
  <si>
    <t>MA &lt;- byte_2; MA &lt;- (MA); MV &lt;- (MA); t &lt;- A + MV + c; A &lt;- t</t>
  </si>
  <si>
    <t>MA &lt;- byte_2; MA &lt;- (MA); MV &lt;- (MA); t &lt;- A &amp; MV; A &lt;- t</t>
  </si>
  <si>
    <t>MA &lt;- byte_2 + X; MV &lt;- (MA); t &lt;- A &amp; MV</t>
  </si>
  <si>
    <t>MA &lt;- byte_2 + 256 * byte_3 + Y; MV &lt;- (MA); t &lt;- A &amp; MV</t>
  </si>
  <si>
    <t>t &lt;- A &amp; byte_2</t>
  </si>
  <si>
    <t>MA &lt;- byte_2; MA &lt;- (MA); MV &lt;- (MA); t &lt;- A ^ MV; A &lt;- t</t>
  </si>
  <si>
    <t>MA &lt;- byte_2 + 256 * byte_3 + X; MA &lt;- (MA); PC &lt;- MA</t>
  </si>
  <si>
    <t>MA &lt;- byte_2; MA &lt;- (MA); A &lt;- (MA)</t>
  </si>
  <si>
    <t>NV-BDIZC</t>
  </si>
  <si>
    <t>MA &lt;- byte_2 + X; MA &lt;- (MA); MV &lt;- (MA); t &lt;- A or MV; A &lt;- t</t>
  </si>
  <si>
    <t>MA &lt;- byte_2; MV &lt;- (MA); t &lt;- A or MV; A &lt;- t</t>
  </si>
  <si>
    <t>t &lt;- A or byte_2; A &lt;- t</t>
  </si>
  <si>
    <t>MA &lt;- byte_2 + 256 * byte_3; MV &lt;- (MA); t &lt;- A or MV; A &lt;- t</t>
  </si>
  <si>
    <t>MA &lt;- byte_2; MA &lt;- (MA) + Y; MV &lt;- (MA); t &lt;- A or MV; A &lt;- t</t>
  </si>
  <si>
    <t>MA &lt;- byte_2; MA &lt;- (MA); MV &lt;- (MA); t &lt;- A or MV; A &lt;- t</t>
  </si>
  <si>
    <t>MA &lt;- byte_2 + X; MV &lt;- (MA); t &lt;- A or MV; A &lt;- t</t>
  </si>
  <si>
    <t>MA &lt;- byte_2 + 256 * byte_3 + Y; MV &lt;- (MA); t &lt;- A or MV; A &lt;- t</t>
  </si>
  <si>
    <t>MA &lt;- byte_2 + 256 * byte_3 + X; MV &lt;- (MA); t &lt;- A or MV; A &lt;- t</t>
  </si>
  <si>
    <t>(absolute,X)</t>
  </si>
  <si>
    <t>(direct page)</t>
  </si>
  <si>
    <t>direct page + 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</si>
</sst>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0" fillId="0" borderId="0" xfId="0" quotePrefix="1"/>
    <xf numFmtId="0" fontId="3" fillId="0" borderId="0" xfId="0" quotePrefix="1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6502.org/tutorials/65c816opcod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K45"/>
  <sheetViews>
    <sheetView workbookViewId="0">
      <selection activeCell="H21" sqref="H21"/>
    </sheetView>
  </sheetViews>
  <sheetFormatPr defaultRowHeight="15" x14ac:dyDescent="0.25"/>
  <cols>
    <col min="1" max="1" width="11" bestFit="1" customWidth="1"/>
    <col min="2" max="2" width="42.7109375" bestFit="1" customWidth="1"/>
    <col min="3" max="4" width="7.140625" customWidth="1"/>
    <col min="5" max="5" width="2.140625" bestFit="1" customWidth="1"/>
    <col min="6" max="6" width="49.85546875" bestFit="1" customWidth="1"/>
    <col min="8" max="8" width="8.140625" bestFit="1" customWidth="1"/>
    <col min="9" max="9" width="19" bestFit="1" customWidth="1"/>
  </cols>
  <sheetData>
    <row r="1" spans="1:9" ht="18.75" x14ac:dyDescent="0.3">
      <c r="A1" s="2" t="s">
        <v>193</v>
      </c>
      <c r="B1" s="27" t="s">
        <v>607</v>
      </c>
      <c r="C1" s="3"/>
      <c r="D1" s="3"/>
    </row>
    <row r="3" spans="1:9" x14ac:dyDescent="0.25">
      <c r="A3" s="4" t="s">
        <v>207</v>
      </c>
    </row>
    <row r="4" spans="1:9" x14ac:dyDescent="0.25">
      <c r="B4" s="6" t="s">
        <v>208</v>
      </c>
      <c r="C4" s="6"/>
      <c r="D4" s="6"/>
    </row>
    <row r="6" spans="1:9" x14ac:dyDescent="0.25">
      <c r="A6" s="28" t="s">
        <v>194</v>
      </c>
      <c r="B6" s="28"/>
      <c r="D6" t="s">
        <v>345</v>
      </c>
      <c r="E6" s="28" t="s">
        <v>198</v>
      </c>
      <c r="F6" s="28"/>
      <c r="H6" s="28" t="s">
        <v>229</v>
      </c>
      <c r="I6" s="28"/>
    </row>
    <row r="7" spans="1:9" x14ac:dyDescent="0.25">
      <c r="A7" s="4" t="s">
        <v>61</v>
      </c>
      <c r="B7" t="s">
        <v>243</v>
      </c>
      <c r="D7">
        <v>0</v>
      </c>
      <c r="E7" s="4" t="s">
        <v>199</v>
      </c>
      <c r="F7" s="8" t="s">
        <v>222</v>
      </c>
      <c r="G7" s="8"/>
      <c r="H7" s="4" t="s">
        <v>63</v>
      </c>
      <c r="I7" t="s">
        <v>231</v>
      </c>
    </row>
    <row r="8" spans="1:9" x14ac:dyDescent="0.25">
      <c r="A8" s="4" t="s">
        <v>216</v>
      </c>
      <c r="B8" t="s">
        <v>215</v>
      </c>
      <c r="D8">
        <v>1</v>
      </c>
      <c r="E8" s="4" t="s">
        <v>200</v>
      </c>
      <c r="F8" s="8" t="s">
        <v>221</v>
      </c>
      <c r="G8" s="8"/>
      <c r="H8" s="4" t="s">
        <v>659</v>
      </c>
      <c r="I8" t="s">
        <v>831</v>
      </c>
    </row>
    <row r="9" spans="1:9" x14ac:dyDescent="0.25">
      <c r="A9" s="4" t="s">
        <v>197</v>
      </c>
      <c r="B9" t="s">
        <v>214</v>
      </c>
      <c r="D9">
        <v>2</v>
      </c>
      <c r="E9" s="4" t="s">
        <v>341</v>
      </c>
      <c r="F9" s="8" t="s">
        <v>342</v>
      </c>
      <c r="G9" s="8"/>
      <c r="H9" s="4" t="s">
        <v>619</v>
      </c>
      <c r="I9" t="s">
        <v>832</v>
      </c>
    </row>
    <row r="10" spans="1:9" x14ac:dyDescent="0.25">
      <c r="A10" s="4" t="s">
        <v>217</v>
      </c>
      <c r="B10" t="s">
        <v>244</v>
      </c>
      <c r="D10">
        <v>3</v>
      </c>
      <c r="E10" s="4" t="s">
        <v>203</v>
      </c>
      <c r="F10" s="8" t="s">
        <v>220</v>
      </c>
      <c r="G10" s="8"/>
      <c r="H10" s="4" t="s">
        <v>252</v>
      </c>
      <c r="I10" t="s">
        <v>232</v>
      </c>
    </row>
    <row r="11" spans="1:9" x14ac:dyDescent="0.25">
      <c r="A11" s="4" t="s">
        <v>195</v>
      </c>
      <c r="B11" t="s">
        <v>245</v>
      </c>
      <c r="D11">
        <v>4</v>
      </c>
      <c r="E11" s="4" t="s">
        <v>340</v>
      </c>
      <c r="F11" s="8" t="s">
        <v>343</v>
      </c>
      <c r="G11" s="8"/>
      <c r="H11" s="4" t="s">
        <v>255</v>
      </c>
      <c r="I11" t="s">
        <v>233</v>
      </c>
    </row>
    <row r="12" spans="1:9" x14ac:dyDescent="0.25">
      <c r="A12" s="4" t="s">
        <v>196</v>
      </c>
      <c r="B12" t="s">
        <v>246</v>
      </c>
      <c r="D12">
        <v>5</v>
      </c>
      <c r="E12" s="26" t="s">
        <v>338</v>
      </c>
      <c r="F12" t="s">
        <v>339</v>
      </c>
      <c r="G12" s="8"/>
      <c r="H12" s="4" t="s">
        <v>60</v>
      </c>
      <c r="I12" t="s">
        <v>230</v>
      </c>
    </row>
    <row r="13" spans="1:9" x14ac:dyDescent="0.25">
      <c r="A13" s="4"/>
      <c r="D13">
        <v>6</v>
      </c>
      <c r="E13" s="4" t="s">
        <v>202</v>
      </c>
      <c r="F13" s="8" t="s">
        <v>219</v>
      </c>
      <c r="G13" s="8"/>
      <c r="H13" s="4" t="s">
        <v>65</v>
      </c>
      <c r="I13" t="s">
        <v>234</v>
      </c>
    </row>
    <row r="14" spans="1:9" x14ac:dyDescent="0.25">
      <c r="A14" s="4"/>
      <c r="D14">
        <v>7</v>
      </c>
      <c r="E14" s="4" t="s">
        <v>201</v>
      </c>
      <c r="F14" s="8" t="s">
        <v>218</v>
      </c>
      <c r="G14" s="8"/>
      <c r="H14" s="4" t="s">
        <v>66</v>
      </c>
      <c r="I14" t="s">
        <v>235</v>
      </c>
    </row>
    <row r="15" spans="1:9" x14ac:dyDescent="0.25">
      <c r="A15" s="4"/>
      <c r="E15" s="4"/>
      <c r="F15" s="8"/>
      <c r="G15" s="8"/>
      <c r="H15" s="4" t="s">
        <v>256</v>
      </c>
      <c r="I15" t="s">
        <v>236</v>
      </c>
    </row>
    <row r="16" spans="1:9" x14ac:dyDescent="0.25">
      <c r="A16" s="4"/>
      <c r="H16" s="4" t="s">
        <v>621</v>
      </c>
      <c r="I16" t="s">
        <v>833</v>
      </c>
    </row>
    <row r="17" spans="1:11" x14ac:dyDescent="0.25">
      <c r="A17" s="4"/>
      <c r="H17" s="4" t="s">
        <v>258</v>
      </c>
      <c r="I17" t="s">
        <v>237</v>
      </c>
    </row>
    <row r="18" spans="1:11" x14ac:dyDescent="0.25">
      <c r="A18" s="4"/>
      <c r="H18" s="4" t="s">
        <v>260</v>
      </c>
      <c r="I18" t="s">
        <v>238</v>
      </c>
    </row>
    <row r="19" spans="1:11" x14ac:dyDescent="0.25">
      <c r="A19" s="4"/>
      <c r="H19" s="4" t="s">
        <v>59</v>
      </c>
      <c r="I19" t="s">
        <v>239</v>
      </c>
    </row>
    <row r="20" spans="1:11" x14ac:dyDescent="0.25">
      <c r="A20" s="4"/>
      <c r="H20" s="4" t="s">
        <v>67</v>
      </c>
      <c r="I20" t="s">
        <v>240</v>
      </c>
    </row>
    <row r="21" spans="1:11" x14ac:dyDescent="0.25">
      <c r="A21" s="4"/>
      <c r="H21" s="4" t="s">
        <v>64</v>
      </c>
      <c r="I21" t="s">
        <v>344</v>
      </c>
    </row>
    <row r="22" spans="1:11" x14ac:dyDescent="0.25">
      <c r="A22" s="4"/>
      <c r="H22" s="1"/>
    </row>
    <row r="23" spans="1:11" x14ac:dyDescent="0.25">
      <c r="A23" s="4"/>
      <c r="H23" s="21"/>
    </row>
    <row r="24" spans="1:11" x14ac:dyDescent="0.25">
      <c r="A24" s="4"/>
      <c r="H24" s="21"/>
    </row>
    <row r="25" spans="1:11" x14ac:dyDescent="0.25">
      <c r="A25" s="4"/>
      <c r="H25" s="21"/>
    </row>
    <row r="26" spans="1:11" x14ac:dyDescent="0.25">
      <c r="A26" s="4"/>
      <c r="H26" s="21"/>
    </row>
    <row r="27" spans="1:11" x14ac:dyDescent="0.25">
      <c r="A27" s="4"/>
      <c r="H27" s="1"/>
    </row>
    <row r="28" spans="1:11" x14ac:dyDescent="0.25">
      <c r="A28" s="7"/>
      <c r="H28" s="21"/>
      <c r="K28" s="7"/>
    </row>
    <row r="29" spans="1:11" x14ac:dyDescent="0.25">
      <c r="H29" s="21"/>
    </row>
    <row r="30" spans="1:11" x14ac:dyDescent="0.25">
      <c r="H30" s="1"/>
    </row>
    <row r="31" spans="1:11" x14ac:dyDescent="0.25">
      <c r="H31" s="21"/>
    </row>
    <row r="32" spans="1:11" x14ac:dyDescent="0.25">
      <c r="H32" s="21"/>
    </row>
    <row r="33" spans="2:8" x14ac:dyDescent="0.25">
      <c r="H33" s="21"/>
    </row>
    <row r="34" spans="2:8" x14ac:dyDescent="0.25">
      <c r="H34" s="21"/>
    </row>
    <row r="35" spans="2:8" x14ac:dyDescent="0.25">
      <c r="H35" s="21"/>
    </row>
    <row r="36" spans="2:8" x14ac:dyDescent="0.25">
      <c r="H36" s="4"/>
    </row>
    <row r="37" spans="2:8" x14ac:dyDescent="0.25">
      <c r="H37" s="4"/>
    </row>
    <row r="38" spans="2:8" x14ac:dyDescent="0.25">
      <c r="H38" s="4"/>
    </row>
    <row r="39" spans="2:8" x14ac:dyDescent="0.25">
      <c r="B39" s="7"/>
      <c r="C39" s="7"/>
      <c r="D39" s="7"/>
      <c r="H39" s="4"/>
    </row>
    <row r="40" spans="2:8" x14ac:dyDescent="0.25">
      <c r="H40" s="4"/>
    </row>
    <row r="41" spans="2:8" x14ac:dyDescent="0.25">
      <c r="H41" s="4"/>
    </row>
    <row r="42" spans="2:8" x14ac:dyDescent="0.25">
      <c r="H42" s="4"/>
    </row>
    <row r="43" spans="2:8" x14ac:dyDescent="0.25">
      <c r="H43" s="4"/>
    </row>
    <row r="44" spans="2:8" x14ac:dyDescent="0.25">
      <c r="H44" s="4"/>
    </row>
    <row r="45" spans="2:8" x14ac:dyDescent="0.25">
      <c r="H45" s="4"/>
    </row>
  </sheetData>
  <sortState xmlns:xlrd2="http://schemas.microsoft.com/office/spreadsheetml/2017/richdata2" ref="H7:I21">
    <sortCondition ref="H7:H21"/>
  </sortState>
  <mergeCells count="3">
    <mergeCell ref="A6:B6"/>
    <mergeCell ref="E6:F6"/>
    <mergeCell ref="H6:I6"/>
  </mergeCells>
  <hyperlinks>
    <hyperlink ref="B4" r:id="rId1" xr:uid="{FB20A822-B794-4D87-BED0-CDE3AFCD7F2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K257"/>
  <sheetViews>
    <sheetView tabSelected="1" zoomScaleNormal="100" workbookViewId="0"/>
  </sheetViews>
  <sheetFormatPr defaultColWidth="11.140625" defaultRowHeight="15" x14ac:dyDescent="0.25"/>
  <cols>
    <col min="1" max="1" width="13.5703125" style="11" bestFit="1" customWidth="1"/>
    <col min="2" max="2" width="2.7109375" style="1" customWidth="1"/>
    <col min="3" max="3" width="11" style="1" bestFit="1" customWidth="1"/>
    <col min="4" max="5" width="12.28515625" style="1" bestFit="1" customWidth="1"/>
    <col min="6" max="6" width="15.5703125" style="1" bestFit="1" customWidth="1"/>
    <col min="7" max="7" width="13.5703125" style="12" bestFit="1" customWidth="1"/>
    <col min="8" max="8" width="13.5703125" style="13" bestFit="1" customWidth="1"/>
    <col min="9" max="9" width="16.140625" style="1" bestFit="1" customWidth="1"/>
    <col min="10" max="10" width="19.5703125" style="1" bestFit="1" customWidth="1"/>
    <col min="11" max="11" width="94.140625" style="1" bestFit="1" customWidth="1"/>
    <col min="12" max="16384" width="11.140625" style="1"/>
  </cols>
  <sheetData>
    <row r="1" spans="1:11" s="10" customFormat="1" x14ac:dyDescent="0.25">
      <c r="A1" s="22" t="s">
        <v>56</v>
      </c>
      <c r="B1" s="10" t="s">
        <v>350</v>
      </c>
      <c r="C1" s="22" t="s">
        <v>247</v>
      </c>
      <c r="D1" s="22" t="s">
        <v>248</v>
      </c>
      <c r="E1" s="22" t="s">
        <v>249</v>
      </c>
      <c r="F1" s="22" t="s">
        <v>57</v>
      </c>
      <c r="G1" s="22" t="s">
        <v>241</v>
      </c>
      <c r="H1" s="22" t="s">
        <v>58</v>
      </c>
      <c r="I1" s="29" t="s">
        <v>821</v>
      </c>
      <c r="J1" s="22" t="s">
        <v>206</v>
      </c>
      <c r="K1" s="22" t="s">
        <v>242</v>
      </c>
    </row>
    <row r="2" spans="1:11" x14ac:dyDescent="0.25">
      <c r="A2" s="23" t="s">
        <v>351</v>
      </c>
      <c r="C2" s="21" t="s">
        <v>0</v>
      </c>
      <c r="D2" s="21"/>
      <c r="E2" s="21" t="s">
        <v>335</v>
      </c>
      <c r="F2" s="21" t="s">
        <v>59</v>
      </c>
      <c r="G2" s="24">
        <v>2</v>
      </c>
      <c r="H2" s="25">
        <v>7</v>
      </c>
      <c r="I2" s="21" t="s">
        <v>264</v>
      </c>
      <c r="J2" s="21" t="s">
        <v>0</v>
      </c>
      <c r="K2" s="21" t="s">
        <v>263</v>
      </c>
    </row>
    <row r="3" spans="1:11" x14ac:dyDescent="0.25">
      <c r="A3" s="23" t="s">
        <v>352</v>
      </c>
      <c r="C3" s="21" t="s">
        <v>1</v>
      </c>
      <c r="D3" s="21" t="s">
        <v>255</v>
      </c>
      <c r="E3" s="21" t="s">
        <v>334</v>
      </c>
      <c r="F3" s="21" t="s">
        <v>254</v>
      </c>
      <c r="G3" s="24">
        <v>2</v>
      </c>
      <c r="H3" s="25">
        <v>6</v>
      </c>
      <c r="I3" s="21" t="s">
        <v>273</v>
      </c>
      <c r="J3" s="21" t="s">
        <v>68</v>
      </c>
      <c r="K3" s="21" t="s">
        <v>822</v>
      </c>
    </row>
    <row r="4" spans="1:11" x14ac:dyDescent="0.25">
      <c r="A4" s="23" t="s">
        <v>353</v>
      </c>
      <c r="B4" s="1" t="s">
        <v>350</v>
      </c>
      <c r="C4" s="21" t="s">
        <v>53</v>
      </c>
      <c r="D4" s="21"/>
      <c r="E4" s="21" t="s">
        <v>335</v>
      </c>
      <c r="F4" s="21" t="s">
        <v>67</v>
      </c>
      <c r="G4" s="24">
        <v>1</v>
      </c>
      <c r="H4" s="25">
        <v>2</v>
      </c>
      <c r="I4" s="21" t="s">
        <v>265</v>
      </c>
      <c r="J4" s="21" t="s">
        <v>53</v>
      </c>
      <c r="K4" s="21" t="s">
        <v>286</v>
      </c>
    </row>
    <row r="5" spans="1:11" x14ac:dyDescent="0.25">
      <c r="A5" s="23" t="s">
        <v>354</v>
      </c>
      <c r="B5" s="1" t="s">
        <v>350</v>
      </c>
      <c r="C5" s="21" t="s">
        <v>53</v>
      </c>
      <c r="D5" s="21"/>
      <c r="E5" s="21" t="s">
        <v>335</v>
      </c>
      <c r="F5" s="21" t="s">
        <v>67</v>
      </c>
      <c r="G5" s="24">
        <v>1</v>
      </c>
      <c r="H5" s="25">
        <v>2</v>
      </c>
      <c r="I5" s="21" t="s">
        <v>265</v>
      </c>
      <c r="J5" s="21" t="s">
        <v>53</v>
      </c>
      <c r="K5" s="21" t="s">
        <v>286</v>
      </c>
    </row>
    <row r="6" spans="1:11" x14ac:dyDescent="0.25">
      <c r="A6" s="23" t="s">
        <v>355</v>
      </c>
      <c r="C6" s="1" t="s">
        <v>608</v>
      </c>
      <c r="D6" s="1" t="s">
        <v>256</v>
      </c>
      <c r="E6" s="21" t="s">
        <v>334</v>
      </c>
      <c r="F6" s="21" t="s">
        <v>256</v>
      </c>
      <c r="G6" s="24">
        <v>2</v>
      </c>
      <c r="H6" s="25">
        <v>5</v>
      </c>
      <c r="I6" s="21" t="s">
        <v>609</v>
      </c>
      <c r="J6" s="21" t="s">
        <v>674</v>
      </c>
      <c r="K6" s="21" t="s">
        <v>610</v>
      </c>
    </row>
    <row r="7" spans="1:11" x14ac:dyDescent="0.25">
      <c r="A7" s="23" t="s">
        <v>356</v>
      </c>
      <c r="C7" s="21" t="s">
        <v>1</v>
      </c>
      <c r="D7" s="21" t="s">
        <v>256</v>
      </c>
      <c r="E7" s="21" t="s">
        <v>334</v>
      </c>
      <c r="F7" s="21" t="s">
        <v>256</v>
      </c>
      <c r="G7" s="24">
        <v>2</v>
      </c>
      <c r="H7" s="25">
        <v>3</v>
      </c>
      <c r="I7" s="21" t="s">
        <v>273</v>
      </c>
      <c r="J7" s="21" t="s">
        <v>69</v>
      </c>
      <c r="K7" s="21" t="s">
        <v>823</v>
      </c>
    </row>
    <row r="8" spans="1:11" x14ac:dyDescent="0.25">
      <c r="A8" s="23" t="s">
        <v>357</v>
      </c>
      <c r="C8" s="21" t="s">
        <v>2</v>
      </c>
      <c r="D8" s="21" t="s">
        <v>256</v>
      </c>
      <c r="E8" s="21" t="s">
        <v>334</v>
      </c>
      <c r="F8" s="21" t="s">
        <v>256</v>
      </c>
      <c r="G8" s="24">
        <v>2</v>
      </c>
      <c r="H8" s="25">
        <v>5</v>
      </c>
      <c r="I8" s="21" t="s">
        <v>275</v>
      </c>
      <c r="J8" s="21" t="s">
        <v>70</v>
      </c>
      <c r="K8" s="21" t="s">
        <v>727</v>
      </c>
    </row>
    <row r="9" spans="1:11" x14ac:dyDescent="0.25">
      <c r="A9" s="23" t="s">
        <v>358</v>
      </c>
      <c r="B9" s="1" t="s">
        <v>661</v>
      </c>
      <c r="C9" s="21" t="s">
        <v>640</v>
      </c>
      <c r="D9" s="21" t="s">
        <v>256</v>
      </c>
      <c r="E9" s="21" t="s">
        <v>334</v>
      </c>
      <c r="F9" s="21" t="s">
        <v>256</v>
      </c>
      <c r="G9" s="24">
        <v>2</v>
      </c>
      <c r="H9" s="25">
        <v>5</v>
      </c>
      <c r="I9" s="21" t="s">
        <v>609</v>
      </c>
      <c r="J9" s="21" t="s">
        <v>673</v>
      </c>
      <c r="K9" s="21" t="s">
        <v>656</v>
      </c>
    </row>
    <row r="10" spans="1:11" x14ac:dyDescent="0.25">
      <c r="A10" s="23" t="s">
        <v>359</v>
      </c>
      <c r="C10" s="21" t="s">
        <v>3</v>
      </c>
      <c r="D10" s="21"/>
      <c r="E10" s="21" t="s">
        <v>337</v>
      </c>
      <c r="F10" s="21" t="s">
        <v>67</v>
      </c>
      <c r="G10" s="24">
        <v>1</v>
      </c>
      <c r="H10" s="25">
        <v>3</v>
      </c>
      <c r="I10" s="21" t="s">
        <v>265</v>
      </c>
      <c r="J10" s="21" t="s">
        <v>3</v>
      </c>
      <c r="K10" s="21" t="s">
        <v>300</v>
      </c>
    </row>
    <row r="11" spans="1:11" x14ac:dyDescent="0.25">
      <c r="A11" s="23" t="s">
        <v>360</v>
      </c>
      <c r="C11" s="21" t="s">
        <v>1</v>
      </c>
      <c r="D11" s="21" t="s">
        <v>59</v>
      </c>
      <c r="E11" s="21" t="s">
        <v>334</v>
      </c>
      <c r="F11" s="21" t="s">
        <v>59</v>
      </c>
      <c r="G11" s="24">
        <v>2</v>
      </c>
      <c r="H11" s="25">
        <v>2</v>
      </c>
      <c r="I11" s="21" t="s">
        <v>273</v>
      </c>
      <c r="J11" s="21" t="s">
        <v>71</v>
      </c>
      <c r="K11" s="21" t="s">
        <v>824</v>
      </c>
    </row>
    <row r="12" spans="1:11" x14ac:dyDescent="0.25">
      <c r="A12" s="23" t="s">
        <v>361</v>
      </c>
      <c r="C12" s="21" t="s">
        <v>2</v>
      </c>
      <c r="D12" s="21" t="s">
        <v>61</v>
      </c>
      <c r="E12" s="21" t="s">
        <v>334</v>
      </c>
      <c r="F12" s="21" t="s">
        <v>67</v>
      </c>
      <c r="G12" s="24">
        <v>1</v>
      </c>
      <c r="H12" s="25">
        <v>2</v>
      </c>
      <c r="I12" s="21" t="s">
        <v>275</v>
      </c>
      <c r="J12" s="21" t="s">
        <v>2</v>
      </c>
      <c r="K12" s="21" t="s">
        <v>728</v>
      </c>
    </row>
    <row r="13" spans="1:11" x14ac:dyDescent="0.25">
      <c r="A13" s="23" t="s">
        <v>362</v>
      </c>
      <c r="B13" s="1" t="s">
        <v>350</v>
      </c>
      <c r="C13" s="21" t="s">
        <v>53</v>
      </c>
      <c r="D13" s="21"/>
      <c r="E13" s="21" t="s">
        <v>335</v>
      </c>
      <c r="F13" s="21" t="s">
        <v>67</v>
      </c>
      <c r="G13" s="24">
        <v>1</v>
      </c>
      <c r="H13" s="25">
        <v>2</v>
      </c>
      <c r="I13" s="21" t="s">
        <v>265</v>
      </c>
      <c r="J13" s="21" t="s">
        <v>53</v>
      </c>
      <c r="K13" s="21" t="s">
        <v>286</v>
      </c>
    </row>
    <row r="14" spans="1:11" x14ac:dyDescent="0.25">
      <c r="A14" s="23" t="s">
        <v>363</v>
      </c>
      <c r="C14" s="1" t="s">
        <v>608</v>
      </c>
      <c r="D14" s="1" t="s">
        <v>60</v>
      </c>
      <c r="E14" s="21" t="s">
        <v>334</v>
      </c>
      <c r="F14" s="21" t="s">
        <v>60</v>
      </c>
      <c r="G14" s="24">
        <v>3</v>
      </c>
      <c r="H14" s="25">
        <v>6</v>
      </c>
      <c r="I14" s="21" t="s">
        <v>609</v>
      </c>
      <c r="J14" s="21" t="s">
        <v>672</v>
      </c>
      <c r="K14" s="21" t="s">
        <v>610</v>
      </c>
    </row>
    <row r="15" spans="1:11" x14ac:dyDescent="0.25">
      <c r="A15" s="23" t="s">
        <v>364</v>
      </c>
      <c r="C15" s="21" t="s">
        <v>1</v>
      </c>
      <c r="D15" s="21" t="s">
        <v>60</v>
      </c>
      <c r="E15" s="21" t="s">
        <v>334</v>
      </c>
      <c r="F15" s="21" t="s">
        <v>60</v>
      </c>
      <c r="G15" s="24">
        <v>3</v>
      </c>
      <c r="H15" s="25">
        <v>4</v>
      </c>
      <c r="I15" s="21" t="s">
        <v>273</v>
      </c>
      <c r="J15" s="21" t="s">
        <v>72</v>
      </c>
      <c r="K15" s="21" t="s">
        <v>825</v>
      </c>
    </row>
    <row r="16" spans="1:11" x14ac:dyDescent="0.25">
      <c r="A16" s="23" t="s">
        <v>365</v>
      </c>
      <c r="C16" s="21" t="s">
        <v>2</v>
      </c>
      <c r="D16" s="21" t="s">
        <v>60</v>
      </c>
      <c r="E16" s="21" t="s">
        <v>334</v>
      </c>
      <c r="F16" s="21" t="s">
        <v>60</v>
      </c>
      <c r="G16" s="24">
        <v>3</v>
      </c>
      <c r="H16" s="25">
        <v>6</v>
      </c>
      <c r="I16" s="21" t="s">
        <v>275</v>
      </c>
      <c r="J16" s="21" t="s">
        <v>73</v>
      </c>
      <c r="K16" s="21" t="s">
        <v>729</v>
      </c>
    </row>
    <row r="17" spans="1:11" x14ac:dyDescent="0.25">
      <c r="A17" s="23" t="s">
        <v>366</v>
      </c>
      <c r="B17" s="1" t="s">
        <v>661</v>
      </c>
      <c r="C17" s="21" t="s">
        <v>622</v>
      </c>
      <c r="D17" s="21" t="s">
        <v>621</v>
      </c>
      <c r="E17" s="21" t="s">
        <v>311</v>
      </c>
      <c r="F17" s="21" t="s">
        <v>620</v>
      </c>
      <c r="G17" s="24">
        <v>3</v>
      </c>
      <c r="H17" s="25" t="s">
        <v>295</v>
      </c>
      <c r="I17" s="21" t="s">
        <v>265</v>
      </c>
      <c r="J17" s="21" t="s">
        <v>675</v>
      </c>
      <c r="K17" s="21" t="s">
        <v>639</v>
      </c>
    </row>
    <row r="18" spans="1:11" x14ac:dyDescent="0.25">
      <c r="A18" s="23" t="s">
        <v>367</v>
      </c>
      <c r="C18" s="21" t="s">
        <v>4</v>
      </c>
      <c r="D18" s="21" t="s">
        <v>64</v>
      </c>
      <c r="E18" s="21" t="s">
        <v>311</v>
      </c>
      <c r="F18" s="21" t="s">
        <v>261</v>
      </c>
      <c r="G18" s="24">
        <v>2</v>
      </c>
      <c r="H18" s="25" t="s">
        <v>295</v>
      </c>
      <c r="I18" s="21" t="s">
        <v>265</v>
      </c>
      <c r="J18" s="21" t="s">
        <v>74</v>
      </c>
      <c r="K18" s="21" t="s">
        <v>313</v>
      </c>
    </row>
    <row r="19" spans="1:11" x14ac:dyDescent="0.25">
      <c r="A19" s="23" t="s">
        <v>368</v>
      </c>
      <c r="C19" s="21" t="s">
        <v>1</v>
      </c>
      <c r="D19" s="21" t="s">
        <v>252</v>
      </c>
      <c r="E19" s="21" t="s">
        <v>334</v>
      </c>
      <c r="F19" s="21" t="s">
        <v>253</v>
      </c>
      <c r="G19" s="24">
        <v>2</v>
      </c>
      <c r="H19" s="25">
        <v>5</v>
      </c>
      <c r="I19" s="21" t="s">
        <v>273</v>
      </c>
      <c r="J19" s="21" t="s">
        <v>75</v>
      </c>
      <c r="K19" s="21" t="s">
        <v>826</v>
      </c>
    </row>
    <row r="20" spans="1:11" x14ac:dyDescent="0.25">
      <c r="A20" s="23" t="s">
        <v>369</v>
      </c>
      <c r="C20" s="21" t="s">
        <v>1</v>
      </c>
      <c r="D20" s="21" t="s">
        <v>619</v>
      </c>
      <c r="E20" s="21" t="s">
        <v>334</v>
      </c>
      <c r="F20" s="21" t="s">
        <v>251</v>
      </c>
      <c r="G20" s="24">
        <v>2</v>
      </c>
      <c r="H20" s="25">
        <v>5</v>
      </c>
      <c r="I20" s="21" t="s">
        <v>273</v>
      </c>
      <c r="J20" s="21" t="s">
        <v>676</v>
      </c>
      <c r="K20" s="21" t="s">
        <v>827</v>
      </c>
    </row>
    <row r="21" spans="1:11" x14ac:dyDescent="0.25">
      <c r="A21" s="23" t="s">
        <v>370</v>
      </c>
      <c r="B21" s="1" t="s">
        <v>350</v>
      </c>
      <c r="C21" s="21" t="s">
        <v>53</v>
      </c>
      <c r="D21" s="21"/>
      <c r="E21" s="21" t="s">
        <v>335</v>
      </c>
      <c r="F21" s="21" t="s">
        <v>67</v>
      </c>
      <c r="G21" s="24">
        <v>1</v>
      </c>
      <c r="H21" s="25">
        <v>2</v>
      </c>
      <c r="I21" s="21" t="s">
        <v>265</v>
      </c>
      <c r="J21" s="21" t="s">
        <v>53</v>
      </c>
      <c r="K21" s="21" t="s">
        <v>286</v>
      </c>
    </row>
    <row r="22" spans="1:11" x14ac:dyDescent="0.25">
      <c r="A22" s="23" t="s">
        <v>371</v>
      </c>
      <c r="C22" s="21" t="s">
        <v>611</v>
      </c>
      <c r="D22" s="21" t="s">
        <v>256</v>
      </c>
      <c r="E22" s="21" t="s">
        <v>334</v>
      </c>
      <c r="F22" s="21" t="s">
        <v>256</v>
      </c>
      <c r="G22" s="24">
        <v>2</v>
      </c>
      <c r="H22" s="25">
        <v>5</v>
      </c>
      <c r="I22" s="21" t="s">
        <v>609</v>
      </c>
      <c r="J22" s="21" t="s">
        <v>677</v>
      </c>
      <c r="K22" s="21" t="s">
        <v>612</v>
      </c>
    </row>
    <row r="23" spans="1:11" x14ac:dyDescent="0.25">
      <c r="A23" s="23" t="s">
        <v>372</v>
      </c>
      <c r="C23" s="21" t="s">
        <v>1</v>
      </c>
      <c r="D23" s="21" t="s">
        <v>258</v>
      </c>
      <c r="E23" s="21" t="s">
        <v>334</v>
      </c>
      <c r="F23" s="21" t="s">
        <v>259</v>
      </c>
      <c r="G23" s="24">
        <v>2</v>
      </c>
      <c r="H23" s="25">
        <v>4</v>
      </c>
      <c r="I23" s="21" t="s">
        <v>273</v>
      </c>
      <c r="J23" s="21" t="s">
        <v>76</v>
      </c>
      <c r="K23" s="21" t="s">
        <v>828</v>
      </c>
    </row>
    <row r="24" spans="1:11" x14ac:dyDescent="0.25">
      <c r="A24" s="23" t="s">
        <v>373</v>
      </c>
      <c r="C24" s="21" t="s">
        <v>2</v>
      </c>
      <c r="D24" s="21" t="s">
        <v>258</v>
      </c>
      <c r="E24" s="21" t="s">
        <v>334</v>
      </c>
      <c r="F24" s="21" t="s">
        <v>259</v>
      </c>
      <c r="G24" s="24">
        <v>2</v>
      </c>
      <c r="H24" s="25">
        <v>6</v>
      </c>
      <c r="I24" s="21" t="s">
        <v>275</v>
      </c>
      <c r="J24" s="21" t="s">
        <v>77</v>
      </c>
      <c r="K24" s="21" t="s">
        <v>730</v>
      </c>
    </row>
    <row r="25" spans="1:11" x14ac:dyDescent="0.25">
      <c r="A25" s="23" t="s">
        <v>374</v>
      </c>
      <c r="B25" s="1" t="s">
        <v>661</v>
      </c>
      <c r="C25" s="21" t="s">
        <v>641</v>
      </c>
      <c r="D25" s="21" t="s">
        <v>256</v>
      </c>
      <c r="E25" s="21" t="s">
        <v>334</v>
      </c>
      <c r="F25" s="21" t="s">
        <v>256</v>
      </c>
      <c r="G25" s="24">
        <v>2</v>
      </c>
      <c r="H25" s="25">
        <v>5</v>
      </c>
      <c r="I25" s="21" t="s">
        <v>609</v>
      </c>
      <c r="J25" s="21" t="s">
        <v>678</v>
      </c>
      <c r="K25" s="21" t="s">
        <v>656</v>
      </c>
    </row>
    <row r="26" spans="1:11" x14ac:dyDescent="0.25">
      <c r="A26" s="23" t="s">
        <v>375</v>
      </c>
      <c r="C26" s="21" t="s">
        <v>5</v>
      </c>
      <c r="D26" s="21"/>
      <c r="E26" s="21" t="s">
        <v>335</v>
      </c>
      <c r="F26" s="21" t="s">
        <v>67</v>
      </c>
      <c r="G26" s="24">
        <v>1</v>
      </c>
      <c r="H26" s="25">
        <v>2</v>
      </c>
      <c r="I26" s="21" t="s">
        <v>266</v>
      </c>
      <c r="J26" s="21" t="s">
        <v>5</v>
      </c>
      <c r="K26" s="21" t="s">
        <v>282</v>
      </c>
    </row>
    <row r="27" spans="1:11" x14ac:dyDescent="0.25">
      <c r="A27" s="23" t="s">
        <v>376</v>
      </c>
      <c r="C27" s="21" t="s">
        <v>1</v>
      </c>
      <c r="D27" s="21" t="s">
        <v>66</v>
      </c>
      <c r="E27" s="21" t="s">
        <v>334</v>
      </c>
      <c r="F27" s="21" t="s">
        <v>257</v>
      </c>
      <c r="G27" s="24">
        <v>3</v>
      </c>
      <c r="H27" s="25">
        <v>4</v>
      </c>
      <c r="I27" s="21" t="s">
        <v>273</v>
      </c>
      <c r="J27" s="21" t="s">
        <v>78</v>
      </c>
      <c r="K27" s="21" t="s">
        <v>829</v>
      </c>
    </row>
    <row r="28" spans="1:11" x14ac:dyDescent="0.25">
      <c r="A28" s="23" t="s">
        <v>377</v>
      </c>
      <c r="C28" s="21" t="s">
        <v>6</v>
      </c>
      <c r="D28" s="21" t="s">
        <v>61</v>
      </c>
      <c r="E28" s="21" t="s">
        <v>333</v>
      </c>
      <c r="F28" s="21" t="s">
        <v>67</v>
      </c>
      <c r="G28" s="24">
        <v>1</v>
      </c>
      <c r="H28" s="25">
        <v>2</v>
      </c>
      <c r="I28" s="21" t="s">
        <v>273</v>
      </c>
      <c r="J28" s="21" t="s">
        <v>670</v>
      </c>
      <c r="K28" s="21" t="s">
        <v>811</v>
      </c>
    </row>
    <row r="29" spans="1:11" x14ac:dyDescent="0.25">
      <c r="A29" s="23" t="s">
        <v>378</v>
      </c>
      <c r="B29" s="1" t="s">
        <v>350</v>
      </c>
      <c r="C29" s="21" t="s">
        <v>53</v>
      </c>
      <c r="D29" s="21"/>
      <c r="E29" s="21" t="s">
        <v>335</v>
      </c>
      <c r="F29" s="21" t="s">
        <v>67</v>
      </c>
      <c r="G29" s="24">
        <v>1</v>
      </c>
      <c r="H29" s="25">
        <v>2</v>
      </c>
      <c r="I29" s="21" t="s">
        <v>265</v>
      </c>
      <c r="J29" s="21" t="s">
        <v>53</v>
      </c>
      <c r="K29" s="21" t="s">
        <v>286</v>
      </c>
    </row>
    <row r="30" spans="1:11" x14ac:dyDescent="0.25">
      <c r="A30" s="23" t="s">
        <v>379</v>
      </c>
      <c r="C30" s="21" t="s">
        <v>611</v>
      </c>
      <c r="D30" s="21" t="s">
        <v>60</v>
      </c>
      <c r="E30" s="21" t="s">
        <v>334</v>
      </c>
      <c r="F30" s="21" t="s">
        <v>60</v>
      </c>
      <c r="G30" s="24">
        <v>3</v>
      </c>
      <c r="H30" s="25">
        <v>6</v>
      </c>
      <c r="I30" s="21" t="s">
        <v>609</v>
      </c>
      <c r="J30" s="21" t="s">
        <v>679</v>
      </c>
      <c r="K30" s="21" t="s">
        <v>612</v>
      </c>
    </row>
    <row r="31" spans="1:11" x14ac:dyDescent="0.25">
      <c r="A31" s="23" t="s">
        <v>380</v>
      </c>
      <c r="C31" s="21" t="s">
        <v>1</v>
      </c>
      <c r="D31" s="21" t="s">
        <v>65</v>
      </c>
      <c r="E31" s="21" t="s">
        <v>334</v>
      </c>
      <c r="F31" s="21" t="s">
        <v>257</v>
      </c>
      <c r="G31" s="24">
        <v>3</v>
      </c>
      <c r="H31" s="25">
        <v>4</v>
      </c>
      <c r="I31" s="21" t="s">
        <v>273</v>
      </c>
      <c r="J31" s="21" t="s">
        <v>79</v>
      </c>
      <c r="K31" s="21" t="s">
        <v>830</v>
      </c>
    </row>
    <row r="32" spans="1:11" x14ac:dyDescent="0.25">
      <c r="A32" s="23" t="s">
        <v>381</v>
      </c>
      <c r="C32" s="21" t="s">
        <v>2</v>
      </c>
      <c r="D32" s="21" t="s">
        <v>65</v>
      </c>
      <c r="E32" s="21" t="s">
        <v>334</v>
      </c>
      <c r="F32" s="21" t="s">
        <v>257</v>
      </c>
      <c r="G32" s="24">
        <v>3</v>
      </c>
      <c r="H32" s="25">
        <v>7</v>
      </c>
      <c r="I32" s="21" t="s">
        <v>275</v>
      </c>
      <c r="J32" s="21" t="s">
        <v>80</v>
      </c>
      <c r="K32" s="21" t="s">
        <v>731</v>
      </c>
    </row>
    <row r="33" spans="1:11" x14ac:dyDescent="0.25">
      <c r="A33" s="23" t="s">
        <v>382</v>
      </c>
      <c r="B33" s="1" t="s">
        <v>661</v>
      </c>
      <c r="C33" s="21" t="s">
        <v>623</v>
      </c>
      <c r="D33" s="21" t="s">
        <v>621</v>
      </c>
      <c r="E33" s="21" t="s">
        <v>311</v>
      </c>
      <c r="F33" s="21" t="s">
        <v>620</v>
      </c>
      <c r="G33" s="24">
        <v>3</v>
      </c>
      <c r="H33" s="25" t="s">
        <v>295</v>
      </c>
      <c r="I33" s="21" t="s">
        <v>265</v>
      </c>
      <c r="J33" s="21" t="s">
        <v>680</v>
      </c>
      <c r="K33" s="21" t="s">
        <v>639</v>
      </c>
    </row>
    <row r="34" spans="1:11" x14ac:dyDescent="0.25">
      <c r="A34" s="23" t="s">
        <v>383</v>
      </c>
      <c r="C34" s="21" t="s">
        <v>7</v>
      </c>
      <c r="D34" s="21" t="s">
        <v>60</v>
      </c>
      <c r="E34" s="21" t="s">
        <v>311</v>
      </c>
      <c r="F34" s="21" t="s">
        <v>60</v>
      </c>
      <c r="G34" s="24">
        <v>3</v>
      </c>
      <c r="H34" s="25">
        <v>6</v>
      </c>
      <c r="I34" s="21" t="s">
        <v>265</v>
      </c>
      <c r="J34" s="21" t="s">
        <v>81</v>
      </c>
      <c r="K34" s="21" t="s">
        <v>314</v>
      </c>
    </row>
    <row r="35" spans="1:11" x14ac:dyDescent="0.25">
      <c r="A35" s="23" t="s">
        <v>384</v>
      </c>
      <c r="C35" s="21" t="s">
        <v>8</v>
      </c>
      <c r="D35" s="21" t="s">
        <v>255</v>
      </c>
      <c r="E35" s="21" t="s">
        <v>334</v>
      </c>
      <c r="F35" s="21" t="s">
        <v>254</v>
      </c>
      <c r="G35" s="24">
        <v>2</v>
      </c>
      <c r="H35" s="25">
        <v>6</v>
      </c>
      <c r="I35" s="21" t="s">
        <v>273</v>
      </c>
      <c r="J35" s="21" t="s">
        <v>82</v>
      </c>
      <c r="K35" s="21" t="s">
        <v>732</v>
      </c>
    </row>
    <row r="36" spans="1:11" x14ac:dyDescent="0.25">
      <c r="A36" s="23" t="s">
        <v>385</v>
      </c>
      <c r="B36" s="1" t="s">
        <v>350</v>
      </c>
      <c r="C36" s="21" t="s">
        <v>53</v>
      </c>
      <c r="D36" s="21"/>
      <c r="E36" s="21" t="s">
        <v>335</v>
      </c>
      <c r="F36" s="21" t="s">
        <v>67</v>
      </c>
      <c r="G36" s="24">
        <v>1</v>
      </c>
      <c r="H36" s="25">
        <v>2</v>
      </c>
      <c r="I36" s="21" t="s">
        <v>265</v>
      </c>
      <c r="J36" s="21" t="s">
        <v>53</v>
      </c>
      <c r="K36" s="21" t="s">
        <v>286</v>
      </c>
    </row>
    <row r="37" spans="1:11" x14ac:dyDescent="0.25">
      <c r="A37" s="23" t="s">
        <v>386</v>
      </c>
      <c r="B37" s="1" t="s">
        <v>350</v>
      </c>
      <c r="C37" s="21" t="s">
        <v>53</v>
      </c>
      <c r="D37" s="21"/>
      <c r="E37" s="21" t="s">
        <v>335</v>
      </c>
      <c r="F37" s="21" t="s">
        <v>67</v>
      </c>
      <c r="G37" s="24">
        <v>1</v>
      </c>
      <c r="H37" s="25">
        <v>2</v>
      </c>
      <c r="I37" s="21" t="s">
        <v>265</v>
      </c>
      <c r="J37" s="21" t="s">
        <v>53</v>
      </c>
      <c r="K37" s="21" t="s">
        <v>286</v>
      </c>
    </row>
    <row r="38" spans="1:11" x14ac:dyDescent="0.25">
      <c r="A38" s="23" t="s">
        <v>387</v>
      </c>
      <c r="C38" s="21" t="s">
        <v>9</v>
      </c>
      <c r="D38" s="21" t="s">
        <v>256</v>
      </c>
      <c r="E38" s="21" t="s">
        <v>334</v>
      </c>
      <c r="F38" s="21" t="s">
        <v>256</v>
      </c>
      <c r="G38" s="24">
        <v>2</v>
      </c>
      <c r="H38" s="25">
        <v>3</v>
      </c>
      <c r="I38" s="21" t="s">
        <v>277</v>
      </c>
      <c r="J38" s="21" t="s">
        <v>83</v>
      </c>
      <c r="K38" s="21" t="s">
        <v>733</v>
      </c>
    </row>
    <row r="39" spans="1:11" x14ac:dyDescent="0.25">
      <c r="A39" s="23" t="s">
        <v>388</v>
      </c>
      <c r="C39" s="21" t="s">
        <v>8</v>
      </c>
      <c r="D39" s="21" t="s">
        <v>256</v>
      </c>
      <c r="E39" s="21" t="s">
        <v>334</v>
      </c>
      <c r="F39" s="21" t="s">
        <v>256</v>
      </c>
      <c r="G39" s="24">
        <v>2</v>
      </c>
      <c r="H39" s="25">
        <v>3</v>
      </c>
      <c r="I39" s="21" t="s">
        <v>273</v>
      </c>
      <c r="J39" s="21" t="s">
        <v>84</v>
      </c>
      <c r="K39" s="21" t="s">
        <v>734</v>
      </c>
    </row>
    <row r="40" spans="1:11" x14ac:dyDescent="0.25">
      <c r="A40" s="23" t="s">
        <v>389</v>
      </c>
      <c r="C40" s="21" t="s">
        <v>10</v>
      </c>
      <c r="D40" s="21" t="s">
        <v>256</v>
      </c>
      <c r="E40" s="21" t="s">
        <v>334</v>
      </c>
      <c r="F40" s="21" t="s">
        <v>256</v>
      </c>
      <c r="G40" s="24">
        <v>2</v>
      </c>
      <c r="H40" s="25">
        <v>5</v>
      </c>
      <c r="I40" s="21" t="s">
        <v>275</v>
      </c>
      <c r="J40" s="21" t="s">
        <v>85</v>
      </c>
      <c r="K40" s="21" t="s">
        <v>727</v>
      </c>
    </row>
    <row r="41" spans="1:11" x14ac:dyDescent="0.25">
      <c r="A41" s="23" t="s">
        <v>390</v>
      </c>
      <c r="B41" s="1" t="s">
        <v>661</v>
      </c>
      <c r="C41" s="21" t="s">
        <v>642</v>
      </c>
      <c r="D41" s="21" t="s">
        <v>256</v>
      </c>
      <c r="E41" s="21" t="s">
        <v>334</v>
      </c>
      <c r="F41" s="21" t="s">
        <v>256</v>
      </c>
      <c r="G41" s="24">
        <v>2</v>
      </c>
      <c r="H41" s="25">
        <v>5</v>
      </c>
      <c r="I41" s="21" t="s">
        <v>609</v>
      </c>
      <c r="J41" s="21" t="s">
        <v>681</v>
      </c>
      <c r="K41" s="21" t="s">
        <v>656</v>
      </c>
    </row>
    <row r="42" spans="1:11" x14ac:dyDescent="0.25">
      <c r="A42" s="23" t="s">
        <v>391</v>
      </c>
      <c r="C42" s="21" t="s">
        <v>11</v>
      </c>
      <c r="D42" s="21"/>
      <c r="E42" s="21" t="s">
        <v>337</v>
      </c>
      <c r="F42" s="21" t="s">
        <v>67</v>
      </c>
      <c r="G42" s="24">
        <v>1</v>
      </c>
      <c r="H42" s="25">
        <v>4</v>
      </c>
      <c r="I42" s="21" t="s">
        <v>294</v>
      </c>
      <c r="J42" s="21" t="s">
        <v>11</v>
      </c>
      <c r="K42" s="21" t="s">
        <v>301</v>
      </c>
    </row>
    <row r="43" spans="1:11" x14ac:dyDescent="0.25">
      <c r="A43" s="23" t="s">
        <v>392</v>
      </c>
      <c r="C43" s="21" t="s">
        <v>8</v>
      </c>
      <c r="D43" s="21" t="s">
        <v>59</v>
      </c>
      <c r="E43" s="21" t="s">
        <v>334</v>
      </c>
      <c r="F43" s="21" t="s">
        <v>59</v>
      </c>
      <c r="G43" s="24">
        <v>2</v>
      </c>
      <c r="H43" s="25">
        <v>2</v>
      </c>
      <c r="I43" s="21" t="s">
        <v>273</v>
      </c>
      <c r="J43" s="21" t="s">
        <v>86</v>
      </c>
      <c r="K43" s="21" t="s">
        <v>735</v>
      </c>
    </row>
    <row r="44" spans="1:11" x14ac:dyDescent="0.25">
      <c r="A44" s="23" t="s">
        <v>393</v>
      </c>
      <c r="C44" s="21" t="s">
        <v>10</v>
      </c>
      <c r="D44" s="21" t="s">
        <v>61</v>
      </c>
      <c r="E44" s="21" t="s">
        <v>334</v>
      </c>
      <c r="F44" s="21" t="s">
        <v>67</v>
      </c>
      <c r="G44" s="24">
        <v>1</v>
      </c>
      <c r="H44" s="25">
        <v>2</v>
      </c>
      <c r="I44" s="21" t="s">
        <v>275</v>
      </c>
      <c r="J44" s="21" t="s">
        <v>10</v>
      </c>
      <c r="K44" s="21" t="s">
        <v>728</v>
      </c>
    </row>
    <row r="45" spans="1:11" x14ac:dyDescent="0.25">
      <c r="A45" s="23" t="s">
        <v>394</v>
      </c>
      <c r="B45" s="1" t="s">
        <v>350</v>
      </c>
      <c r="C45" s="21" t="s">
        <v>53</v>
      </c>
      <c r="D45" s="21"/>
      <c r="E45" s="21" t="s">
        <v>335</v>
      </c>
      <c r="F45" s="21" t="s">
        <v>67</v>
      </c>
      <c r="G45" s="24">
        <v>1</v>
      </c>
      <c r="H45" s="25">
        <v>2</v>
      </c>
      <c r="I45" s="21" t="s">
        <v>265</v>
      </c>
      <c r="J45" s="21" t="s">
        <v>53</v>
      </c>
      <c r="K45" s="21" t="s">
        <v>286</v>
      </c>
    </row>
    <row r="46" spans="1:11" x14ac:dyDescent="0.25">
      <c r="A46" s="23" t="s">
        <v>395</v>
      </c>
      <c r="C46" s="21" t="s">
        <v>9</v>
      </c>
      <c r="D46" s="21" t="s">
        <v>60</v>
      </c>
      <c r="E46" s="21" t="s">
        <v>334</v>
      </c>
      <c r="F46" s="21" t="s">
        <v>60</v>
      </c>
      <c r="G46" s="24">
        <v>3</v>
      </c>
      <c r="H46" s="25">
        <v>4</v>
      </c>
      <c r="I46" s="21" t="s">
        <v>277</v>
      </c>
      <c r="J46" s="21" t="s">
        <v>87</v>
      </c>
      <c r="K46" s="21" t="s">
        <v>736</v>
      </c>
    </row>
    <row r="47" spans="1:11" x14ac:dyDescent="0.25">
      <c r="A47" s="23" t="s">
        <v>396</v>
      </c>
      <c r="C47" s="21" t="s">
        <v>8</v>
      </c>
      <c r="D47" s="21" t="s">
        <v>60</v>
      </c>
      <c r="E47" s="21" t="s">
        <v>334</v>
      </c>
      <c r="F47" s="21" t="s">
        <v>60</v>
      </c>
      <c r="G47" s="24">
        <v>3</v>
      </c>
      <c r="H47" s="25">
        <v>4</v>
      </c>
      <c r="I47" s="21" t="s">
        <v>273</v>
      </c>
      <c r="J47" s="21" t="s">
        <v>88</v>
      </c>
      <c r="K47" s="21" t="s">
        <v>737</v>
      </c>
    </row>
    <row r="48" spans="1:11" x14ac:dyDescent="0.25">
      <c r="A48" s="23" t="s">
        <v>397</v>
      </c>
      <c r="C48" s="21" t="s">
        <v>10</v>
      </c>
      <c r="D48" s="21" t="s">
        <v>60</v>
      </c>
      <c r="E48" s="21" t="s">
        <v>334</v>
      </c>
      <c r="F48" s="21" t="s">
        <v>60</v>
      </c>
      <c r="G48" s="24">
        <v>3</v>
      </c>
      <c r="H48" s="25">
        <v>6</v>
      </c>
      <c r="I48" s="21" t="s">
        <v>275</v>
      </c>
      <c r="J48" s="21" t="s">
        <v>89</v>
      </c>
      <c r="K48" s="21" t="s">
        <v>729</v>
      </c>
    </row>
    <row r="49" spans="1:11" x14ac:dyDescent="0.25">
      <c r="A49" s="23" t="s">
        <v>398</v>
      </c>
      <c r="B49" s="1" t="s">
        <v>661</v>
      </c>
      <c r="C49" s="21" t="s">
        <v>624</v>
      </c>
      <c r="D49" s="21" t="s">
        <v>621</v>
      </c>
      <c r="E49" s="21" t="s">
        <v>311</v>
      </c>
      <c r="F49" s="21" t="s">
        <v>620</v>
      </c>
      <c r="G49" s="24">
        <v>3</v>
      </c>
      <c r="H49" s="25" t="s">
        <v>295</v>
      </c>
      <c r="I49" s="21" t="s">
        <v>265</v>
      </c>
      <c r="J49" s="21" t="s">
        <v>682</v>
      </c>
      <c r="K49" s="21" t="s">
        <v>639</v>
      </c>
    </row>
    <row r="50" spans="1:11" x14ac:dyDescent="0.25">
      <c r="A50" s="23" t="s">
        <v>399</v>
      </c>
      <c r="C50" s="21" t="s">
        <v>12</v>
      </c>
      <c r="D50" s="21" t="s">
        <v>64</v>
      </c>
      <c r="E50" s="21" t="s">
        <v>311</v>
      </c>
      <c r="F50" s="21" t="s">
        <v>261</v>
      </c>
      <c r="G50" s="24">
        <v>2</v>
      </c>
      <c r="H50" s="25" t="s">
        <v>295</v>
      </c>
      <c r="I50" s="21" t="s">
        <v>265</v>
      </c>
      <c r="J50" s="21" t="s">
        <v>90</v>
      </c>
      <c r="K50" s="21" t="s">
        <v>305</v>
      </c>
    </row>
    <row r="51" spans="1:11" x14ac:dyDescent="0.25">
      <c r="A51" s="23" t="s">
        <v>400</v>
      </c>
      <c r="C51" s="21" t="s">
        <v>8</v>
      </c>
      <c r="D51" s="21" t="s">
        <v>252</v>
      </c>
      <c r="E51" s="21" t="s">
        <v>334</v>
      </c>
      <c r="F51" s="21" t="s">
        <v>253</v>
      </c>
      <c r="G51" s="24">
        <v>2</v>
      </c>
      <c r="H51" s="25">
        <v>5</v>
      </c>
      <c r="I51" s="21" t="s">
        <v>273</v>
      </c>
      <c r="J51" s="21" t="s">
        <v>91</v>
      </c>
      <c r="K51" s="21" t="s">
        <v>738</v>
      </c>
    </row>
    <row r="52" spans="1:11" x14ac:dyDescent="0.25">
      <c r="A52" s="23" t="s">
        <v>401</v>
      </c>
      <c r="C52" s="21" t="s">
        <v>8</v>
      </c>
      <c r="D52" s="1" t="s">
        <v>619</v>
      </c>
      <c r="E52" s="21" t="s">
        <v>334</v>
      </c>
      <c r="F52" s="21" t="s">
        <v>251</v>
      </c>
      <c r="G52" s="24">
        <v>2</v>
      </c>
      <c r="H52" s="25">
        <v>5</v>
      </c>
      <c r="I52" s="21" t="s">
        <v>273</v>
      </c>
      <c r="J52" s="21" t="s">
        <v>683</v>
      </c>
      <c r="K52" s="21" t="s">
        <v>814</v>
      </c>
    </row>
    <row r="53" spans="1:11" x14ac:dyDescent="0.25">
      <c r="A53" s="23" t="s">
        <v>402</v>
      </c>
      <c r="B53" s="1" t="s">
        <v>350</v>
      </c>
      <c r="C53" s="21" t="s">
        <v>53</v>
      </c>
      <c r="D53" s="21"/>
      <c r="E53" s="21" t="s">
        <v>335</v>
      </c>
      <c r="F53" s="21" t="s">
        <v>67</v>
      </c>
      <c r="G53" s="24">
        <v>1</v>
      </c>
      <c r="H53" s="25">
        <v>2</v>
      </c>
      <c r="I53" s="21" t="s">
        <v>265</v>
      </c>
      <c r="J53" s="21" t="s">
        <v>53</v>
      </c>
      <c r="K53" s="21" t="s">
        <v>286</v>
      </c>
    </row>
    <row r="54" spans="1:11" x14ac:dyDescent="0.25">
      <c r="A54" s="23" t="s">
        <v>403</v>
      </c>
      <c r="C54" s="21" t="s">
        <v>9</v>
      </c>
      <c r="D54" s="1" t="s">
        <v>258</v>
      </c>
      <c r="E54" s="21" t="s">
        <v>334</v>
      </c>
      <c r="F54" s="21" t="s">
        <v>67</v>
      </c>
      <c r="G54" s="24">
        <v>1</v>
      </c>
      <c r="H54" s="25">
        <v>4</v>
      </c>
      <c r="I54" s="21" t="s">
        <v>277</v>
      </c>
      <c r="J54" s="21" t="s">
        <v>684</v>
      </c>
      <c r="K54" s="21" t="s">
        <v>815</v>
      </c>
    </row>
    <row r="55" spans="1:11" x14ac:dyDescent="0.25">
      <c r="A55" s="23" t="s">
        <v>404</v>
      </c>
      <c r="C55" s="21" t="s">
        <v>8</v>
      </c>
      <c r="D55" s="21" t="s">
        <v>258</v>
      </c>
      <c r="E55" s="21" t="s">
        <v>334</v>
      </c>
      <c r="F55" s="21" t="s">
        <v>259</v>
      </c>
      <c r="G55" s="24">
        <v>2</v>
      </c>
      <c r="H55" s="25">
        <v>4</v>
      </c>
      <c r="I55" s="21" t="s">
        <v>273</v>
      </c>
      <c r="J55" s="21" t="s">
        <v>92</v>
      </c>
      <c r="K55" s="21" t="s">
        <v>739</v>
      </c>
    </row>
    <row r="56" spans="1:11" x14ac:dyDescent="0.25">
      <c r="A56" s="23" t="s">
        <v>405</v>
      </c>
      <c r="C56" s="21" t="s">
        <v>10</v>
      </c>
      <c r="D56" s="21" t="s">
        <v>258</v>
      </c>
      <c r="E56" s="21" t="s">
        <v>334</v>
      </c>
      <c r="F56" s="21" t="s">
        <v>259</v>
      </c>
      <c r="G56" s="24">
        <v>2</v>
      </c>
      <c r="H56" s="25">
        <v>6</v>
      </c>
      <c r="I56" s="21" t="s">
        <v>275</v>
      </c>
      <c r="J56" s="21" t="s">
        <v>93</v>
      </c>
      <c r="K56" s="21" t="s">
        <v>730</v>
      </c>
    </row>
    <row r="57" spans="1:11" x14ac:dyDescent="0.25">
      <c r="A57" s="23" t="s">
        <v>406</v>
      </c>
      <c r="B57" s="1" t="s">
        <v>661</v>
      </c>
      <c r="C57" s="21" t="s">
        <v>643</v>
      </c>
      <c r="D57" s="21" t="s">
        <v>256</v>
      </c>
      <c r="E57" s="21" t="s">
        <v>334</v>
      </c>
      <c r="F57" s="21" t="s">
        <v>256</v>
      </c>
      <c r="G57" s="24">
        <v>2</v>
      </c>
      <c r="H57" s="25">
        <v>5</v>
      </c>
      <c r="I57" s="21" t="s">
        <v>609</v>
      </c>
      <c r="J57" s="21" t="s">
        <v>685</v>
      </c>
      <c r="K57" s="21" t="s">
        <v>656</v>
      </c>
    </row>
    <row r="58" spans="1:11" x14ac:dyDescent="0.25">
      <c r="A58" s="23" t="s">
        <v>407</v>
      </c>
      <c r="C58" s="21" t="s">
        <v>13</v>
      </c>
      <c r="D58" s="21"/>
      <c r="E58" s="21" t="s">
        <v>335</v>
      </c>
      <c r="F58" s="21" t="s">
        <v>67</v>
      </c>
      <c r="G58" s="24">
        <v>1</v>
      </c>
      <c r="H58" s="25">
        <v>2</v>
      </c>
      <c r="I58" s="21" t="s">
        <v>267</v>
      </c>
      <c r="J58" s="21" t="s">
        <v>13</v>
      </c>
      <c r="K58" s="21" t="s">
        <v>283</v>
      </c>
    </row>
    <row r="59" spans="1:11" x14ac:dyDescent="0.25">
      <c r="A59" s="23" t="s">
        <v>408</v>
      </c>
      <c r="C59" s="21" t="s">
        <v>8</v>
      </c>
      <c r="D59" s="21" t="s">
        <v>66</v>
      </c>
      <c r="E59" s="21" t="s">
        <v>334</v>
      </c>
      <c r="F59" s="21" t="s">
        <v>257</v>
      </c>
      <c r="G59" s="24">
        <v>3</v>
      </c>
      <c r="H59" s="25">
        <v>4</v>
      </c>
      <c r="I59" s="21" t="s">
        <v>273</v>
      </c>
      <c r="J59" s="21" t="s">
        <v>94</v>
      </c>
      <c r="K59" s="21" t="s">
        <v>740</v>
      </c>
    </row>
    <row r="60" spans="1:11" x14ac:dyDescent="0.25">
      <c r="A60" s="23" t="s">
        <v>409</v>
      </c>
      <c r="C60" s="21" t="s">
        <v>14</v>
      </c>
      <c r="D60" s="21" t="s">
        <v>61</v>
      </c>
      <c r="E60" s="21" t="s">
        <v>333</v>
      </c>
      <c r="F60" s="21" t="s">
        <v>67</v>
      </c>
      <c r="G60" s="24">
        <v>1</v>
      </c>
      <c r="H60" s="25">
        <v>2</v>
      </c>
      <c r="I60" s="21" t="s">
        <v>273</v>
      </c>
      <c r="J60" s="21" t="s">
        <v>671</v>
      </c>
      <c r="K60" s="21" t="s">
        <v>812</v>
      </c>
    </row>
    <row r="61" spans="1:11" x14ac:dyDescent="0.25">
      <c r="A61" s="23" t="s">
        <v>410</v>
      </c>
      <c r="B61" s="1" t="s">
        <v>350</v>
      </c>
      <c r="C61" s="21" t="s">
        <v>53</v>
      </c>
      <c r="D61" s="21"/>
      <c r="E61" s="21" t="s">
        <v>335</v>
      </c>
      <c r="F61" s="21" t="s">
        <v>67</v>
      </c>
      <c r="G61" s="24">
        <v>1</v>
      </c>
      <c r="H61" s="25">
        <v>2</v>
      </c>
      <c r="I61" s="21" t="s">
        <v>265</v>
      </c>
      <c r="J61" s="21" t="s">
        <v>53</v>
      </c>
      <c r="K61" s="21" t="s">
        <v>286</v>
      </c>
    </row>
    <row r="62" spans="1:11" x14ac:dyDescent="0.25">
      <c r="A62" s="23" t="s">
        <v>411</v>
      </c>
      <c r="C62" s="1" t="s">
        <v>9</v>
      </c>
      <c r="D62" s="1" t="s">
        <v>65</v>
      </c>
      <c r="E62" s="21" t="s">
        <v>334</v>
      </c>
      <c r="F62" s="21" t="s">
        <v>257</v>
      </c>
      <c r="G62" s="24">
        <v>3</v>
      </c>
      <c r="H62" s="25">
        <v>4</v>
      </c>
      <c r="I62" s="21" t="s">
        <v>277</v>
      </c>
      <c r="J62" s="21" t="s">
        <v>686</v>
      </c>
      <c r="K62" s="21" t="s">
        <v>816</v>
      </c>
    </row>
    <row r="63" spans="1:11" x14ac:dyDescent="0.25">
      <c r="A63" s="23" t="s">
        <v>412</v>
      </c>
      <c r="C63" s="21" t="s">
        <v>8</v>
      </c>
      <c r="D63" s="21" t="s">
        <v>65</v>
      </c>
      <c r="E63" s="21" t="s">
        <v>334</v>
      </c>
      <c r="F63" s="21" t="s">
        <v>257</v>
      </c>
      <c r="G63" s="24">
        <v>3</v>
      </c>
      <c r="H63" s="25">
        <v>4</v>
      </c>
      <c r="I63" s="21" t="s">
        <v>273</v>
      </c>
      <c r="J63" s="21" t="s">
        <v>95</v>
      </c>
      <c r="K63" s="21" t="s">
        <v>741</v>
      </c>
    </row>
    <row r="64" spans="1:11" x14ac:dyDescent="0.25">
      <c r="A64" s="23" t="s">
        <v>413</v>
      </c>
      <c r="C64" s="21" t="s">
        <v>10</v>
      </c>
      <c r="D64" s="21" t="s">
        <v>65</v>
      </c>
      <c r="E64" s="21" t="s">
        <v>334</v>
      </c>
      <c r="F64" s="21" t="s">
        <v>257</v>
      </c>
      <c r="G64" s="24">
        <v>3</v>
      </c>
      <c r="H64" s="25">
        <v>7</v>
      </c>
      <c r="I64" s="21" t="s">
        <v>275</v>
      </c>
      <c r="J64" s="21" t="s">
        <v>96</v>
      </c>
      <c r="K64" s="21" t="s">
        <v>731</v>
      </c>
    </row>
    <row r="65" spans="1:11" x14ac:dyDescent="0.25">
      <c r="A65" s="23" t="s">
        <v>414</v>
      </c>
      <c r="B65" s="1" t="s">
        <v>661</v>
      </c>
      <c r="C65" s="21" t="s">
        <v>625</v>
      </c>
      <c r="D65" s="21" t="s">
        <v>621</v>
      </c>
      <c r="E65" s="21" t="s">
        <v>311</v>
      </c>
      <c r="F65" s="21" t="s">
        <v>620</v>
      </c>
      <c r="G65" s="24">
        <v>3</v>
      </c>
      <c r="H65" s="25" t="s">
        <v>295</v>
      </c>
      <c r="I65" s="21" t="s">
        <v>265</v>
      </c>
      <c r="J65" s="21" t="s">
        <v>687</v>
      </c>
      <c r="K65" s="21" t="s">
        <v>639</v>
      </c>
    </row>
    <row r="66" spans="1:11" x14ac:dyDescent="0.25">
      <c r="A66" s="23" t="s">
        <v>415</v>
      </c>
      <c r="C66" s="21" t="s">
        <v>15</v>
      </c>
      <c r="D66" s="21"/>
      <c r="E66" s="21" t="s">
        <v>311</v>
      </c>
      <c r="F66" s="21" t="s">
        <v>67</v>
      </c>
      <c r="G66" s="24">
        <v>1</v>
      </c>
      <c r="H66" s="25">
        <v>6</v>
      </c>
      <c r="I66" s="21" t="s">
        <v>294</v>
      </c>
      <c r="J66" s="21" t="s">
        <v>15</v>
      </c>
      <c r="K66" s="21" t="s">
        <v>742</v>
      </c>
    </row>
    <row r="67" spans="1:11" x14ac:dyDescent="0.25">
      <c r="A67" s="23" t="s">
        <v>416</v>
      </c>
      <c r="C67" s="21" t="s">
        <v>16</v>
      </c>
      <c r="D67" s="21" t="s">
        <v>255</v>
      </c>
      <c r="E67" s="21" t="s">
        <v>334</v>
      </c>
      <c r="F67" s="21" t="s">
        <v>254</v>
      </c>
      <c r="G67" s="24">
        <v>2</v>
      </c>
      <c r="H67" s="25">
        <v>6</v>
      </c>
      <c r="I67" s="21" t="s">
        <v>273</v>
      </c>
      <c r="J67" s="21" t="s">
        <v>97</v>
      </c>
      <c r="K67" s="21" t="s">
        <v>743</v>
      </c>
    </row>
    <row r="68" spans="1:11" x14ac:dyDescent="0.25">
      <c r="A68" s="23" t="s">
        <v>417</v>
      </c>
      <c r="B68" s="1" t="s">
        <v>350</v>
      </c>
      <c r="C68" s="21" t="s">
        <v>53</v>
      </c>
      <c r="D68" s="21"/>
      <c r="E68" s="21" t="s">
        <v>335</v>
      </c>
      <c r="F68" s="21" t="s">
        <v>67</v>
      </c>
      <c r="G68" s="24">
        <v>1</v>
      </c>
      <c r="H68" s="25">
        <v>2</v>
      </c>
      <c r="I68" s="21" t="s">
        <v>265</v>
      </c>
      <c r="J68" s="21" t="s">
        <v>53</v>
      </c>
      <c r="K68" s="21" t="s">
        <v>286</v>
      </c>
    </row>
    <row r="69" spans="1:11" x14ac:dyDescent="0.25">
      <c r="A69" s="23" t="s">
        <v>418</v>
      </c>
      <c r="B69" s="1" t="s">
        <v>350</v>
      </c>
      <c r="C69" s="21" t="s">
        <v>53</v>
      </c>
      <c r="D69" s="21"/>
      <c r="E69" s="21" t="s">
        <v>335</v>
      </c>
      <c r="F69" s="21" t="s">
        <v>67</v>
      </c>
      <c r="G69" s="24">
        <v>1</v>
      </c>
      <c r="H69" s="25">
        <v>2</v>
      </c>
      <c r="I69" s="21" t="s">
        <v>265</v>
      </c>
      <c r="J69" s="21" t="s">
        <v>53</v>
      </c>
      <c r="K69" s="21" t="s">
        <v>286</v>
      </c>
    </row>
    <row r="70" spans="1:11" x14ac:dyDescent="0.25">
      <c r="A70" s="23" t="s">
        <v>419</v>
      </c>
      <c r="B70" s="1" t="s">
        <v>350</v>
      </c>
      <c r="C70" s="21" t="s">
        <v>53</v>
      </c>
      <c r="D70" s="21"/>
      <c r="E70" s="21" t="s">
        <v>335</v>
      </c>
      <c r="F70" s="21" t="s">
        <v>67</v>
      </c>
      <c r="G70" s="24">
        <v>1</v>
      </c>
      <c r="H70" s="25">
        <v>2</v>
      </c>
      <c r="I70" s="21" t="s">
        <v>265</v>
      </c>
      <c r="J70" s="21" t="s">
        <v>53</v>
      </c>
      <c r="K70" s="21" t="s">
        <v>286</v>
      </c>
    </row>
    <row r="71" spans="1:11" x14ac:dyDescent="0.25">
      <c r="A71" s="23" t="s">
        <v>420</v>
      </c>
      <c r="C71" s="21" t="s">
        <v>16</v>
      </c>
      <c r="D71" s="21" t="s">
        <v>256</v>
      </c>
      <c r="E71" s="21" t="s">
        <v>334</v>
      </c>
      <c r="F71" s="21" t="s">
        <v>256</v>
      </c>
      <c r="G71" s="24">
        <v>2</v>
      </c>
      <c r="H71" s="25">
        <v>3</v>
      </c>
      <c r="I71" s="21" t="s">
        <v>273</v>
      </c>
      <c r="J71" s="21" t="s">
        <v>98</v>
      </c>
      <c r="K71" s="21" t="s">
        <v>744</v>
      </c>
    </row>
    <row r="72" spans="1:11" x14ac:dyDescent="0.25">
      <c r="A72" s="23" t="s">
        <v>421</v>
      </c>
      <c r="C72" s="21" t="s">
        <v>17</v>
      </c>
      <c r="D72" s="21" t="s">
        <v>256</v>
      </c>
      <c r="E72" s="21" t="s">
        <v>334</v>
      </c>
      <c r="F72" s="21" t="s">
        <v>256</v>
      </c>
      <c r="G72" s="24">
        <v>2</v>
      </c>
      <c r="H72" s="25">
        <v>5</v>
      </c>
      <c r="I72" s="21" t="s">
        <v>276</v>
      </c>
      <c r="J72" s="21" t="s">
        <v>99</v>
      </c>
      <c r="K72" s="21" t="s">
        <v>745</v>
      </c>
    </row>
    <row r="73" spans="1:11" x14ac:dyDescent="0.25">
      <c r="A73" s="23" t="s">
        <v>422</v>
      </c>
      <c r="B73" s="1" t="s">
        <v>661</v>
      </c>
      <c r="C73" s="21" t="s">
        <v>644</v>
      </c>
      <c r="D73" s="21" t="s">
        <v>256</v>
      </c>
      <c r="E73" s="21" t="s">
        <v>334</v>
      </c>
      <c r="F73" s="21" t="s">
        <v>256</v>
      </c>
      <c r="G73" s="24">
        <v>2</v>
      </c>
      <c r="H73" s="25">
        <v>5</v>
      </c>
      <c r="I73" s="21" t="s">
        <v>609</v>
      </c>
      <c r="J73" s="21" t="s">
        <v>688</v>
      </c>
      <c r="K73" s="21" t="s">
        <v>656</v>
      </c>
    </row>
    <row r="74" spans="1:11" x14ac:dyDescent="0.25">
      <c r="A74" s="23" t="s">
        <v>423</v>
      </c>
      <c r="C74" s="21" t="s">
        <v>18</v>
      </c>
      <c r="D74" s="21"/>
      <c r="E74" s="21" t="s">
        <v>337</v>
      </c>
      <c r="F74" s="21" t="s">
        <v>67</v>
      </c>
      <c r="G74" s="24">
        <v>1</v>
      </c>
      <c r="H74" s="25">
        <v>3</v>
      </c>
      <c r="I74" s="21" t="s">
        <v>265</v>
      </c>
      <c r="J74" s="21" t="s">
        <v>18</v>
      </c>
      <c r="K74" s="21" t="s">
        <v>304</v>
      </c>
    </row>
    <row r="75" spans="1:11" x14ac:dyDescent="0.25">
      <c r="A75" s="23" t="s">
        <v>424</v>
      </c>
      <c r="C75" s="21" t="s">
        <v>16</v>
      </c>
      <c r="D75" s="21" t="s">
        <v>59</v>
      </c>
      <c r="E75" s="21" t="s">
        <v>334</v>
      </c>
      <c r="F75" s="21" t="s">
        <v>59</v>
      </c>
      <c r="G75" s="24">
        <v>2</v>
      </c>
      <c r="H75" s="25">
        <v>2</v>
      </c>
      <c r="I75" s="21" t="s">
        <v>273</v>
      </c>
      <c r="J75" s="21" t="s">
        <v>100</v>
      </c>
      <c r="K75" s="21" t="s">
        <v>746</v>
      </c>
    </row>
    <row r="76" spans="1:11" x14ac:dyDescent="0.25">
      <c r="A76" s="23" t="s">
        <v>425</v>
      </c>
      <c r="C76" s="21" t="s">
        <v>17</v>
      </c>
      <c r="D76" s="21"/>
      <c r="E76" s="21" t="s">
        <v>334</v>
      </c>
      <c r="F76" s="21" t="s">
        <v>67</v>
      </c>
      <c r="G76" s="24">
        <v>1</v>
      </c>
      <c r="H76" s="25">
        <v>2</v>
      </c>
      <c r="I76" s="21" t="s">
        <v>276</v>
      </c>
      <c r="J76" s="21" t="s">
        <v>17</v>
      </c>
      <c r="K76" s="21" t="s">
        <v>747</v>
      </c>
    </row>
    <row r="77" spans="1:11" x14ac:dyDescent="0.25">
      <c r="A77" s="23" t="s">
        <v>426</v>
      </c>
      <c r="B77" s="1" t="s">
        <v>350</v>
      </c>
      <c r="C77" s="21" t="s">
        <v>53</v>
      </c>
      <c r="D77" s="21"/>
      <c r="E77" s="21" t="s">
        <v>335</v>
      </c>
      <c r="F77" s="21" t="s">
        <v>67</v>
      </c>
      <c r="G77" s="24">
        <v>1</v>
      </c>
      <c r="H77" s="25">
        <v>2</v>
      </c>
      <c r="I77" s="21" t="s">
        <v>265</v>
      </c>
      <c r="J77" s="21" t="s">
        <v>53</v>
      </c>
      <c r="K77" s="21" t="s">
        <v>286</v>
      </c>
    </row>
    <row r="78" spans="1:11" x14ac:dyDescent="0.25">
      <c r="A78" s="23" t="s">
        <v>427</v>
      </c>
      <c r="C78" s="21" t="s">
        <v>19</v>
      </c>
      <c r="D78" s="21" t="s">
        <v>60</v>
      </c>
      <c r="E78" s="21" t="s">
        <v>311</v>
      </c>
      <c r="F78" s="21" t="s">
        <v>60</v>
      </c>
      <c r="G78" s="24">
        <v>3</v>
      </c>
      <c r="H78" s="25">
        <v>3</v>
      </c>
      <c r="I78" s="21" t="s">
        <v>265</v>
      </c>
      <c r="J78" s="21" t="s">
        <v>101</v>
      </c>
      <c r="K78" s="21" t="s">
        <v>296</v>
      </c>
    </row>
    <row r="79" spans="1:11" x14ac:dyDescent="0.25">
      <c r="A79" s="23" t="s">
        <v>428</v>
      </c>
      <c r="C79" s="21" t="s">
        <v>16</v>
      </c>
      <c r="D79" s="21" t="s">
        <v>60</v>
      </c>
      <c r="E79" s="21" t="s">
        <v>334</v>
      </c>
      <c r="F79" s="21" t="s">
        <v>60</v>
      </c>
      <c r="G79" s="24">
        <v>3</v>
      </c>
      <c r="H79" s="25">
        <v>4</v>
      </c>
      <c r="I79" s="21" t="s">
        <v>273</v>
      </c>
      <c r="J79" s="21" t="s">
        <v>102</v>
      </c>
      <c r="K79" s="21" t="s">
        <v>748</v>
      </c>
    </row>
    <row r="80" spans="1:11" x14ac:dyDescent="0.25">
      <c r="A80" s="23" t="s">
        <v>429</v>
      </c>
      <c r="C80" s="21" t="s">
        <v>17</v>
      </c>
      <c r="D80" s="21" t="s">
        <v>60</v>
      </c>
      <c r="E80" s="21" t="s">
        <v>334</v>
      </c>
      <c r="F80" s="21" t="s">
        <v>60</v>
      </c>
      <c r="G80" s="24">
        <v>3</v>
      </c>
      <c r="H80" s="25">
        <v>6</v>
      </c>
      <c r="I80" s="21" t="s">
        <v>276</v>
      </c>
      <c r="J80" s="21" t="s">
        <v>103</v>
      </c>
      <c r="K80" s="21" t="s">
        <v>749</v>
      </c>
    </row>
    <row r="81" spans="1:11" x14ac:dyDescent="0.25">
      <c r="A81" s="23" t="s">
        <v>430</v>
      </c>
      <c r="B81" s="1" t="s">
        <v>661</v>
      </c>
      <c r="C81" s="21" t="s">
        <v>626</v>
      </c>
      <c r="D81" s="21" t="s">
        <v>621</v>
      </c>
      <c r="E81" s="21" t="s">
        <v>311</v>
      </c>
      <c r="F81" s="21" t="s">
        <v>620</v>
      </c>
      <c r="G81" s="24">
        <v>3</v>
      </c>
      <c r="H81" s="25" t="s">
        <v>295</v>
      </c>
      <c r="I81" s="21" t="s">
        <v>265</v>
      </c>
      <c r="J81" s="21" t="s">
        <v>689</v>
      </c>
      <c r="K81" s="21" t="s">
        <v>639</v>
      </c>
    </row>
    <row r="82" spans="1:11" x14ac:dyDescent="0.25">
      <c r="A82" s="23" t="s">
        <v>431</v>
      </c>
      <c r="C82" s="21" t="s">
        <v>20</v>
      </c>
      <c r="D82" s="21" t="s">
        <v>64</v>
      </c>
      <c r="E82" s="21" t="s">
        <v>311</v>
      </c>
      <c r="F82" s="21" t="s">
        <v>251</v>
      </c>
      <c r="G82" s="24">
        <v>2</v>
      </c>
      <c r="H82" s="25" t="s">
        <v>295</v>
      </c>
      <c r="I82" s="21" t="s">
        <v>265</v>
      </c>
      <c r="J82" s="21" t="s">
        <v>104</v>
      </c>
      <c r="K82" s="21" t="s">
        <v>312</v>
      </c>
    </row>
    <row r="83" spans="1:11" x14ac:dyDescent="0.25">
      <c r="A83" s="23" t="s">
        <v>432</v>
      </c>
      <c r="C83" s="21" t="s">
        <v>16</v>
      </c>
      <c r="D83" s="21" t="s">
        <v>252</v>
      </c>
      <c r="E83" s="21" t="s">
        <v>334</v>
      </c>
      <c r="F83" s="21" t="s">
        <v>253</v>
      </c>
      <c r="G83" s="24">
        <v>2</v>
      </c>
      <c r="H83" s="25">
        <v>5</v>
      </c>
      <c r="I83" s="21" t="s">
        <v>273</v>
      </c>
      <c r="J83" s="21" t="s">
        <v>105</v>
      </c>
      <c r="K83" s="21" t="s">
        <v>750</v>
      </c>
    </row>
    <row r="84" spans="1:11" x14ac:dyDescent="0.25">
      <c r="A84" s="23" t="s">
        <v>433</v>
      </c>
      <c r="C84" s="1" t="s">
        <v>16</v>
      </c>
      <c r="D84" s="1" t="s">
        <v>619</v>
      </c>
      <c r="E84" s="21" t="s">
        <v>334</v>
      </c>
      <c r="F84" s="21" t="s">
        <v>251</v>
      </c>
      <c r="G84" s="24">
        <v>2</v>
      </c>
      <c r="H84" s="25">
        <v>5</v>
      </c>
      <c r="I84" s="21" t="s">
        <v>273</v>
      </c>
      <c r="J84" s="21" t="s">
        <v>690</v>
      </c>
      <c r="K84" s="21" t="s">
        <v>818</v>
      </c>
    </row>
    <row r="85" spans="1:11" x14ac:dyDescent="0.25">
      <c r="A85" s="23" t="s">
        <v>434</v>
      </c>
      <c r="B85" s="1" t="s">
        <v>350</v>
      </c>
      <c r="C85" s="21" t="s">
        <v>53</v>
      </c>
      <c r="D85" s="21"/>
      <c r="E85" s="21" t="s">
        <v>335</v>
      </c>
      <c r="F85" s="21" t="s">
        <v>67</v>
      </c>
      <c r="G85" s="24">
        <v>1</v>
      </c>
      <c r="H85" s="25">
        <v>2</v>
      </c>
      <c r="I85" s="21" t="s">
        <v>265</v>
      </c>
      <c r="J85" s="21" t="s">
        <v>53</v>
      </c>
      <c r="K85" s="21" t="s">
        <v>286</v>
      </c>
    </row>
    <row r="86" spans="1:11" x14ac:dyDescent="0.25">
      <c r="A86" s="23" t="s">
        <v>435</v>
      </c>
      <c r="B86" s="1" t="s">
        <v>350</v>
      </c>
      <c r="C86" s="21" t="s">
        <v>53</v>
      </c>
      <c r="D86" s="21"/>
      <c r="E86" s="21" t="s">
        <v>335</v>
      </c>
      <c r="F86" s="21" t="s">
        <v>67</v>
      </c>
      <c r="G86" s="24">
        <v>1</v>
      </c>
      <c r="H86" s="25">
        <v>2</v>
      </c>
      <c r="I86" s="21" t="s">
        <v>265</v>
      </c>
      <c r="J86" s="21" t="s">
        <v>53</v>
      </c>
      <c r="K86" s="21" t="s">
        <v>286</v>
      </c>
    </row>
    <row r="87" spans="1:11" x14ac:dyDescent="0.25">
      <c r="A87" s="23" t="s">
        <v>436</v>
      </c>
      <c r="C87" s="21" t="s">
        <v>16</v>
      </c>
      <c r="D87" s="21" t="s">
        <v>258</v>
      </c>
      <c r="E87" s="21" t="s">
        <v>334</v>
      </c>
      <c r="F87" s="21" t="s">
        <v>259</v>
      </c>
      <c r="G87" s="24">
        <v>2</v>
      </c>
      <c r="H87" s="25">
        <v>4</v>
      </c>
      <c r="I87" s="21" t="s">
        <v>273</v>
      </c>
      <c r="J87" s="21" t="s">
        <v>106</v>
      </c>
      <c r="K87" s="21" t="s">
        <v>751</v>
      </c>
    </row>
    <row r="88" spans="1:11" x14ac:dyDescent="0.25">
      <c r="A88" s="23" t="s">
        <v>437</v>
      </c>
      <c r="C88" s="1" t="s">
        <v>17</v>
      </c>
      <c r="D88" s="1" t="s">
        <v>258</v>
      </c>
      <c r="E88" s="21" t="s">
        <v>334</v>
      </c>
      <c r="F88" s="21" t="s">
        <v>259</v>
      </c>
      <c r="G88" s="24">
        <v>2</v>
      </c>
      <c r="H88" s="25">
        <v>2</v>
      </c>
      <c r="I88" s="21" t="s">
        <v>276</v>
      </c>
      <c r="J88" s="21" t="s">
        <v>691</v>
      </c>
      <c r="K88" s="21" t="s">
        <v>763</v>
      </c>
    </row>
    <row r="89" spans="1:11" x14ac:dyDescent="0.25">
      <c r="A89" s="23" t="s">
        <v>438</v>
      </c>
      <c r="B89" s="1" t="s">
        <v>661</v>
      </c>
      <c r="C89" s="21" t="s">
        <v>645</v>
      </c>
      <c r="D89" s="21" t="s">
        <v>256</v>
      </c>
      <c r="E89" s="21" t="s">
        <v>334</v>
      </c>
      <c r="F89" s="21" t="s">
        <v>256</v>
      </c>
      <c r="G89" s="24">
        <v>2</v>
      </c>
      <c r="H89" s="25">
        <v>5</v>
      </c>
      <c r="I89" s="21" t="s">
        <v>609</v>
      </c>
      <c r="J89" s="21" t="s">
        <v>692</v>
      </c>
      <c r="K89" s="21" t="s">
        <v>656</v>
      </c>
    </row>
    <row r="90" spans="1:11" x14ac:dyDescent="0.25">
      <c r="A90" s="23" t="s">
        <v>439</v>
      </c>
      <c r="C90" s="21" t="s">
        <v>21</v>
      </c>
      <c r="D90" s="21"/>
      <c r="E90" s="21" t="s">
        <v>335</v>
      </c>
      <c r="F90" s="21" t="s">
        <v>67</v>
      </c>
      <c r="G90" s="24">
        <v>1</v>
      </c>
      <c r="H90" s="25">
        <v>2</v>
      </c>
      <c r="I90" s="21" t="s">
        <v>268</v>
      </c>
      <c r="J90" s="21" t="s">
        <v>21</v>
      </c>
      <c r="K90" s="21" t="s">
        <v>284</v>
      </c>
    </row>
    <row r="91" spans="1:11" x14ac:dyDescent="0.25">
      <c r="A91" s="23" t="s">
        <v>440</v>
      </c>
      <c r="C91" s="21" t="s">
        <v>16</v>
      </c>
      <c r="D91" s="21" t="s">
        <v>66</v>
      </c>
      <c r="E91" s="21" t="s">
        <v>334</v>
      </c>
      <c r="F91" s="21" t="s">
        <v>257</v>
      </c>
      <c r="G91" s="24">
        <v>3</v>
      </c>
      <c r="H91" s="25">
        <v>4</v>
      </c>
      <c r="I91" s="21" t="s">
        <v>273</v>
      </c>
      <c r="J91" s="21" t="s">
        <v>107</v>
      </c>
      <c r="K91" s="21" t="s">
        <v>752</v>
      </c>
    </row>
    <row r="92" spans="1:11" x14ac:dyDescent="0.25">
      <c r="A92" s="23" t="s">
        <v>441</v>
      </c>
      <c r="C92" s="21" t="s">
        <v>615</v>
      </c>
      <c r="D92" s="21"/>
      <c r="E92" s="21" t="s">
        <v>337</v>
      </c>
      <c r="F92" s="21" t="s">
        <v>67</v>
      </c>
      <c r="G92" s="24">
        <v>1</v>
      </c>
      <c r="H92" s="25">
        <v>3</v>
      </c>
      <c r="I92" s="21" t="s">
        <v>265</v>
      </c>
      <c r="J92" s="21" t="s">
        <v>615</v>
      </c>
      <c r="K92" s="21" t="s">
        <v>665</v>
      </c>
    </row>
    <row r="93" spans="1:11" x14ac:dyDescent="0.25">
      <c r="A93" s="23" t="s">
        <v>442</v>
      </c>
      <c r="B93" s="1" t="s">
        <v>350</v>
      </c>
      <c r="C93" s="21" t="s">
        <v>53</v>
      </c>
      <c r="D93" s="21"/>
      <c r="E93" s="21" t="s">
        <v>335</v>
      </c>
      <c r="F93" s="21" t="s">
        <v>67</v>
      </c>
      <c r="G93" s="24">
        <v>1</v>
      </c>
      <c r="H93" s="25">
        <v>2</v>
      </c>
      <c r="I93" s="21" t="s">
        <v>265</v>
      </c>
      <c r="J93" s="21" t="s">
        <v>53</v>
      </c>
      <c r="K93" s="21" t="s">
        <v>286</v>
      </c>
    </row>
    <row r="94" spans="1:11" x14ac:dyDescent="0.25">
      <c r="A94" s="23" t="s">
        <v>443</v>
      </c>
      <c r="B94" s="1" t="s">
        <v>350</v>
      </c>
      <c r="C94" s="21" t="s">
        <v>53</v>
      </c>
      <c r="D94" s="21"/>
      <c r="E94" s="21" t="s">
        <v>335</v>
      </c>
      <c r="F94" s="21" t="s">
        <v>67</v>
      </c>
      <c r="G94" s="24">
        <v>1</v>
      </c>
      <c r="H94" s="25">
        <v>2</v>
      </c>
      <c r="I94" s="21" t="s">
        <v>265</v>
      </c>
      <c r="J94" s="21" t="s">
        <v>53</v>
      </c>
      <c r="K94" s="21" t="s">
        <v>286</v>
      </c>
    </row>
    <row r="95" spans="1:11" x14ac:dyDescent="0.25">
      <c r="A95" s="23" t="s">
        <v>444</v>
      </c>
      <c r="C95" s="21" t="s">
        <v>16</v>
      </c>
      <c r="D95" s="21" t="s">
        <v>65</v>
      </c>
      <c r="E95" s="21" t="s">
        <v>334</v>
      </c>
      <c r="F95" s="21" t="s">
        <v>257</v>
      </c>
      <c r="G95" s="24">
        <v>3</v>
      </c>
      <c r="H95" s="25">
        <v>4</v>
      </c>
      <c r="I95" s="21" t="s">
        <v>273</v>
      </c>
      <c r="J95" s="21" t="s">
        <v>108</v>
      </c>
      <c r="K95" s="21" t="s">
        <v>753</v>
      </c>
    </row>
    <row r="96" spans="1:11" x14ac:dyDescent="0.25">
      <c r="A96" s="23" t="s">
        <v>445</v>
      </c>
      <c r="C96" s="21" t="s">
        <v>17</v>
      </c>
      <c r="D96" s="21" t="s">
        <v>65</v>
      </c>
      <c r="E96" s="21" t="s">
        <v>334</v>
      </c>
      <c r="F96" s="21" t="s">
        <v>257</v>
      </c>
      <c r="G96" s="24">
        <v>3</v>
      </c>
      <c r="H96" s="25">
        <v>7</v>
      </c>
      <c r="I96" s="21" t="s">
        <v>276</v>
      </c>
      <c r="J96" s="21" t="s">
        <v>109</v>
      </c>
      <c r="K96" s="21" t="s">
        <v>754</v>
      </c>
    </row>
    <row r="97" spans="1:11" x14ac:dyDescent="0.25">
      <c r="A97" s="23" t="s">
        <v>446</v>
      </c>
      <c r="B97" s="1" t="s">
        <v>661</v>
      </c>
      <c r="C97" s="21" t="s">
        <v>627</v>
      </c>
      <c r="D97" s="21" t="s">
        <v>621</v>
      </c>
      <c r="E97" s="21" t="s">
        <v>311</v>
      </c>
      <c r="F97" s="21" t="s">
        <v>620</v>
      </c>
      <c r="G97" s="24">
        <v>3</v>
      </c>
      <c r="H97" s="25" t="s">
        <v>295</v>
      </c>
      <c r="I97" s="21" t="s">
        <v>265</v>
      </c>
      <c r="J97" s="21" t="s">
        <v>693</v>
      </c>
      <c r="K97" s="21" t="s">
        <v>639</v>
      </c>
    </row>
    <row r="98" spans="1:11" x14ac:dyDescent="0.25">
      <c r="A98" s="23" t="s">
        <v>447</v>
      </c>
      <c r="C98" s="21" t="s">
        <v>22</v>
      </c>
      <c r="D98" s="21"/>
      <c r="E98" s="21" t="s">
        <v>311</v>
      </c>
      <c r="F98" s="21" t="s">
        <v>67</v>
      </c>
      <c r="G98" s="24">
        <v>1</v>
      </c>
      <c r="H98" s="25">
        <v>6</v>
      </c>
      <c r="I98" s="21" t="s">
        <v>265</v>
      </c>
      <c r="J98" s="21" t="s">
        <v>22</v>
      </c>
      <c r="K98" s="21" t="s">
        <v>303</v>
      </c>
    </row>
    <row r="99" spans="1:11" x14ac:dyDescent="0.25">
      <c r="A99" s="23" t="s">
        <v>448</v>
      </c>
      <c r="C99" s="21" t="s">
        <v>23</v>
      </c>
      <c r="D99" s="21" t="s">
        <v>255</v>
      </c>
      <c r="E99" s="21" t="s">
        <v>333</v>
      </c>
      <c r="F99" s="21" t="s">
        <v>254</v>
      </c>
      <c r="G99" s="24">
        <v>2</v>
      </c>
      <c r="H99" s="25">
        <v>6</v>
      </c>
      <c r="I99" s="21" t="s">
        <v>274</v>
      </c>
      <c r="J99" s="21" t="s">
        <v>110</v>
      </c>
      <c r="K99" s="21" t="s">
        <v>755</v>
      </c>
    </row>
    <row r="100" spans="1:11" x14ac:dyDescent="0.25">
      <c r="A100" s="23" t="s">
        <v>449</v>
      </c>
      <c r="B100" s="1" t="s">
        <v>350</v>
      </c>
      <c r="C100" s="21" t="s">
        <v>53</v>
      </c>
      <c r="D100" s="21"/>
      <c r="E100" s="21" t="s">
        <v>335</v>
      </c>
      <c r="F100" s="21" t="s">
        <v>67</v>
      </c>
      <c r="G100" s="24">
        <v>1</v>
      </c>
      <c r="H100" s="25">
        <v>2</v>
      </c>
      <c r="I100" s="21" t="s">
        <v>265</v>
      </c>
      <c r="J100" s="21" t="s">
        <v>53</v>
      </c>
      <c r="K100" s="21" t="s">
        <v>286</v>
      </c>
    </row>
    <row r="101" spans="1:11" x14ac:dyDescent="0.25">
      <c r="A101" s="23" t="s">
        <v>450</v>
      </c>
      <c r="B101" s="1" t="s">
        <v>350</v>
      </c>
      <c r="C101" s="21" t="s">
        <v>53</v>
      </c>
      <c r="D101" s="21"/>
      <c r="E101" s="21" t="s">
        <v>335</v>
      </c>
      <c r="F101" s="21" t="s">
        <v>67</v>
      </c>
      <c r="G101" s="24">
        <v>1</v>
      </c>
      <c r="H101" s="25">
        <v>2</v>
      </c>
      <c r="I101" s="21" t="s">
        <v>265</v>
      </c>
      <c r="J101" s="21" t="s">
        <v>53</v>
      </c>
      <c r="K101" s="21" t="s">
        <v>286</v>
      </c>
    </row>
    <row r="102" spans="1:11" x14ac:dyDescent="0.25">
      <c r="A102" s="23" t="s">
        <v>451</v>
      </c>
      <c r="C102" s="1" t="s">
        <v>658</v>
      </c>
      <c r="D102" s="1" t="s">
        <v>256</v>
      </c>
      <c r="E102" s="21" t="s">
        <v>336</v>
      </c>
      <c r="F102" s="21" t="s">
        <v>256</v>
      </c>
      <c r="G102" s="24">
        <v>3</v>
      </c>
      <c r="H102" s="25">
        <v>4</v>
      </c>
      <c r="I102" s="21" t="s">
        <v>265</v>
      </c>
      <c r="J102" s="21" t="s">
        <v>694</v>
      </c>
      <c r="K102" s="21" t="s">
        <v>756</v>
      </c>
    </row>
    <row r="103" spans="1:11" x14ac:dyDescent="0.25">
      <c r="A103" s="23" t="s">
        <v>452</v>
      </c>
      <c r="C103" s="21" t="s">
        <v>23</v>
      </c>
      <c r="D103" s="21" t="s">
        <v>256</v>
      </c>
      <c r="E103" s="21" t="s">
        <v>333</v>
      </c>
      <c r="F103" s="21" t="s">
        <v>256</v>
      </c>
      <c r="G103" s="24">
        <v>2</v>
      </c>
      <c r="H103" s="25">
        <v>3</v>
      </c>
      <c r="I103" s="21" t="s">
        <v>274</v>
      </c>
      <c r="J103" s="21" t="s">
        <v>111</v>
      </c>
      <c r="K103" s="21" t="s">
        <v>757</v>
      </c>
    </row>
    <row r="104" spans="1:11" x14ac:dyDescent="0.25">
      <c r="A104" s="23" t="s">
        <v>453</v>
      </c>
      <c r="C104" s="21" t="s">
        <v>24</v>
      </c>
      <c r="D104" s="21" t="s">
        <v>256</v>
      </c>
      <c r="E104" s="21" t="s">
        <v>334</v>
      </c>
      <c r="F104" s="21" t="s">
        <v>256</v>
      </c>
      <c r="G104" s="24">
        <v>2</v>
      </c>
      <c r="H104" s="25">
        <v>5</v>
      </c>
      <c r="I104" s="21" t="s">
        <v>275</v>
      </c>
      <c r="J104" s="21" t="s">
        <v>112</v>
      </c>
      <c r="K104" s="21" t="s">
        <v>745</v>
      </c>
    </row>
    <row r="105" spans="1:11" x14ac:dyDescent="0.25">
      <c r="A105" s="23" t="s">
        <v>454</v>
      </c>
      <c r="B105" s="1" t="s">
        <v>661</v>
      </c>
      <c r="C105" s="21" t="s">
        <v>646</v>
      </c>
      <c r="D105" s="21" t="s">
        <v>256</v>
      </c>
      <c r="E105" s="21" t="s">
        <v>334</v>
      </c>
      <c r="F105" s="21" t="s">
        <v>256</v>
      </c>
      <c r="G105" s="24">
        <v>2</v>
      </c>
      <c r="H105" s="25">
        <v>5</v>
      </c>
      <c r="I105" s="21" t="s">
        <v>609</v>
      </c>
      <c r="J105" s="21" t="s">
        <v>695</v>
      </c>
      <c r="K105" s="21" t="s">
        <v>656</v>
      </c>
    </row>
    <row r="106" spans="1:11" x14ac:dyDescent="0.25">
      <c r="A106" s="23" t="s">
        <v>455</v>
      </c>
      <c r="C106" s="21" t="s">
        <v>25</v>
      </c>
      <c r="D106" s="21"/>
      <c r="E106" s="21" t="s">
        <v>337</v>
      </c>
      <c r="F106" s="21" t="s">
        <v>67</v>
      </c>
      <c r="G106" s="24">
        <v>1</v>
      </c>
      <c r="H106" s="25">
        <v>4</v>
      </c>
      <c r="I106" s="21" t="s">
        <v>273</v>
      </c>
      <c r="J106" s="21" t="s">
        <v>25</v>
      </c>
      <c r="K106" s="21" t="s">
        <v>302</v>
      </c>
    </row>
    <row r="107" spans="1:11" x14ac:dyDescent="0.25">
      <c r="A107" s="23" t="s">
        <v>456</v>
      </c>
      <c r="C107" s="21" t="s">
        <v>23</v>
      </c>
      <c r="D107" s="21" t="s">
        <v>59</v>
      </c>
      <c r="E107" s="21" t="s">
        <v>333</v>
      </c>
      <c r="F107" s="21" t="s">
        <v>59</v>
      </c>
      <c r="G107" s="24">
        <v>2</v>
      </c>
      <c r="H107" s="25">
        <v>2</v>
      </c>
      <c r="I107" s="21" t="s">
        <v>274</v>
      </c>
      <c r="J107" s="21" t="s">
        <v>113</v>
      </c>
      <c r="K107" s="21" t="s">
        <v>758</v>
      </c>
    </row>
    <row r="108" spans="1:11" x14ac:dyDescent="0.25">
      <c r="A108" s="23" t="s">
        <v>457</v>
      </c>
      <c r="C108" s="21" t="s">
        <v>24</v>
      </c>
      <c r="D108" s="21" t="s">
        <v>61</v>
      </c>
      <c r="E108" s="21" t="s">
        <v>334</v>
      </c>
      <c r="F108" s="21" t="s">
        <v>67</v>
      </c>
      <c r="G108" s="24">
        <v>1</v>
      </c>
      <c r="H108" s="25">
        <v>2</v>
      </c>
      <c r="I108" s="21" t="s">
        <v>275</v>
      </c>
      <c r="J108" s="21" t="s">
        <v>24</v>
      </c>
      <c r="K108" s="21" t="s">
        <v>747</v>
      </c>
    </row>
    <row r="109" spans="1:11" x14ac:dyDescent="0.25">
      <c r="A109" s="23" t="s">
        <v>458</v>
      </c>
      <c r="B109" s="1" t="s">
        <v>350</v>
      </c>
      <c r="C109" s="21" t="s">
        <v>53</v>
      </c>
      <c r="D109" s="21"/>
      <c r="E109" s="21" t="s">
        <v>335</v>
      </c>
      <c r="F109" s="21" t="s">
        <v>67</v>
      </c>
      <c r="G109" s="24">
        <v>1</v>
      </c>
      <c r="H109" s="25">
        <v>2</v>
      </c>
      <c r="I109" s="21" t="s">
        <v>265</v>
      </c>
      <c r="J109" s="21" t="s">
        <v>53</v>
      </c>
      <c r="K109" s="21" t="s">
        <v>286</v>
      </c>
    </row>
    <row r="110" spans="1:11" x14ac:dyDescent="0.25">
      <c r="A110" s="23" t="s">
        <v>459</v>
      </c>
      <c r="C110" s="21" t="s">
        <v>19</v>
      </c>
      <c r="D110" s="21" t="s">
        <v>63</v>
      </c>
      <c r="E110" s="21" t="s">
        <v>311</v>
      </c>
      <c r="F110" s="21" t="s">
        <v>250</v>
      </c>
      <c r="G110" s="24">
        <v>3</v>
      </c>
      <c r="H110" s="25">
        <v>5</v>
      </c>
      <c r="I110" s="21" t="s">
        <v>265</v>
      </c>
      <c r="J110" s="21" t="s">
        <v>114</v>
      </c>
      <c r="K110" s="21" t="s">
        <v>759</v>
      </c>
    </row>
    <row r="111" spans="1:11" x14ac:dyDescent="0.25">
      <c r="A111" s="23" t="s">
        <v>460</v>
      </c>
      <c r="C111" s="21" t="s">
        <v>23</v>
      </c>
      <c r="D111" s="21" t="s">
        <v>60</v>
      </c>
      <c r="E111" s="21" t="s">
        <v>333</v>
      </c>
      <c r="F111" s="21" t="s">
        <v>60</v>
      </c>
      <c r="G111" s="24">
        <v>3</v>
      </c>
      <c r="H111" s="25">
        <v>4</v>
      </c>
      <c r="I111" s="21" t="s">
        <v>274</v>
      </c>
      <c r="J111" s="21" t="s">
        <v>115</v>
      </c>
      <c r="K111" s="21" t="s">
        <v>760</v>
      </c>
    </row>
    <row r="112" spans="1:11" x14ac:dyDescent="0.25">
      <c r="A112" s="23" t="s">
        <v>461</v>
      </c>
      <c r="C112" s="21" t="s">
        <v>24</v>
      </c>
      <c r="D112" s="21" t="s">
        <v>60</v>
      </c>
      <c r="E112" s="21" t="s">
        <v>334</v>
      </c>
      <c r="F112" s="21" t="s">
        <v>60</v>
      </c>
      <c r="G112" s="24">
        <v>3</v>
      </c>
      <c r="H112" s="25">
        <v>6</v>
      </c>
      <c r="I112" s="21" t="s">
        <v>275</v>
      </c>
      <c r="J112" s="21" t="s">
        <v>116</v>
      </c>
      <c r="K112" s="21" t="s">
        <v>749</v>
      </c>
    </row>
    <row r="113" spans="1:11" x14ac:dyDescent="0.25">
      <c r="A113" s="23" t="s">
        <v>462</v>
      </c>
      <c r="B113" s="1" t="s">
        <v>661</v>
      </c>
      <c r="C113" s="21" t="s">
        <v>628</v>
      </c>
      <c r="D113" s="21" t="s">
        <v>621</v>
      </c>
      <c r="E113" s="21" t="s">
        <v>311</v>
      </c>
      <c r="F113" s="21" t="s">
        <v>620</v>
      </c>
      <c r="G113" s="24">
        <v>3</v>
      </c>
      <c r="H113" s="25" t="s">
        <v>295</v>
      </c>
      <c r="I113" s="21" t="s">
        <v>265</v>
      </c>
      <c r="J113" s="21" t="s">
        <v>696</v>
      </c>
      <c r="K113" s="21" t="s">
        <v>639</v>
      </c>
    </row>
    <row r="114" spans="1:11" x14ac:dyDescent="0.25">
      <c r="A114" s="23" t="s">
        <v>463</v>
      </c>
      <c r="C114" s="21" t="s">
        <v>26</v>
      </c>
      <c r="D114" s="21" t="s">
        <v>64</v>
      </c>
      <c r="E114" s="21" t="s">
        <v>311</v>
      </c>
      <c r="F114" s="21" t="s">
        <v>261</v>
      </c>
      <c r="G114" s="24">
        <v>2</v>
      </c>
      <c r="H114" s="25" t="s">
        <v>295</v>
      </c>
      <c r="I114" s="21" t="s">
        <v>265</v>
      </c>
      <c r="J114" s="21" t="s">
        <v>117</v>
      </c>
      <c r="K114" s="21" t="s">
        <v>306</v>
      </c>
    </row>
    <row r="115" spans="1:11" x14ac:dyDescent="0.25">
      <c r="A115" s="23" t="s">
        <v>464</v>
      </c>
      <c r="C115" s="21" t="s">
        <v>23</v>
      </c>
      <c r="D115" s="21" t="s">
        <v>252</v>
      </c>
      <c r="E115" s="21" t="s">
        <v>333</v>
      </c>
      <c r="F115" s="21" t="s">
        <v>253</v>
      </c>
      <c r="G115" s="24">
        <v>2</v>
      </c>
      <c r="H115" s="25">
        <v>5</v>
      </c>
      <c r="I115" s="21" t="s">
        <v>274</v>
      </c>
      <c r="J115" s="21" t="s">
        <v>118</v>
      </c>
      <c r="K115" s="21" t="s">
        <v>761</v>
      </c>
    </row>
    <row r="116" spans="1:11" x14ac:dyDescent="0.25">
      <c r="A116" s="23" t="s">
        <v>465</v>
      </c>
      <c r="C116" s="1" t="s">
        <v>23</v>
      </c>
      <c r="D116" s="1" t="s">
        <v>619</v>
      </c>
      <c r="E116" s="21" t="s">
        <v>333</v>
      </c>
      <c r="F116" s="21" t="s">
        <v>251</v>
      </c>
      <c r="G116" s="24">
        <v>2</v>
      </c>
      <c r="H116" s="25">
        <v>5</v>
      </c>
      <c r="I116" s="21" t="s">
        <v>274</v>
      </c>
      <c r="J116" s="21" t="s">
        <v>697</v>
      </c>
      <c r="K116" s="21" t="s">
        <v>813</v>
      </c>
    </row>
    <row r="117" spans="1:11" x14ac:dyDescent="0.25">
      <c r="A117" s="23" t="s">
        <v>466</v>
      </c>
      <c r="B117" s="1" t="s">
        <v>350</v>
      </c>
      <c r="C117" s="21" t="s">
        <v>53</v>
      </c>
      <c r="D117" s="21"/>
      <c r="E117" s="21" t="s">
        <v>335</v>
      </c>
      <c r="F117" s="21" t="s">
        <v>67</v>
      </c>
      <c r="G117" s="24">
        <v>1</v>
      </c>
      <c r="H117" s="25">
        <v>2</v>
      </c>
      <c r="I117" s="21" t="s">
        <v>265</v>
      </c>
      <c r="J117" s="21" t="s">
        <v>53</v>
      </c>
      <c r="K117" s="21" t="s">
        <v>286</v>
      </c>
    </row>
    <row r="118" spans="1:11" x14ac:dyDescent="0.25">
      <c r="A118" s="23" t="s">
        <v>467</v>
      </c>
      <c r="C118" s="1" t="s">
        <v>658</v>
      </c>
      <c r="D118" s="1" t="s">
        <v>258</v>
      </c>
      <c r="E118" s="21" t="s">
        <v>336</v>
      </c>
      <c r="F118" s="21" t="s">
        <v>259</v>
      </c>
      <c r="G118" s="24">
        <v>2</v>
      </c>
      <c r="H118" s="25">
        <v>4</v>
      </c>
      <c r="I118" s="21" t="s">
        <v>265</v>
      </c>
      <c r="J118" s="21" t="s">
        <v>698</v>
      </c>
      <c r="K118" s="21" t="s">
        <v>667</v>
      </c>
    </row>
    <row r="119" spans="1:11" x14ac:dyDescent="0.25">
      <c r="A119" s="23" t="s">
        <v>468</v>
      </c>
      <c r="C119" s="21" t="s">
        <v>23</v>
      </c>
      <c r="D119" s="21" t="s">
        <v>258</v>
      </c>
      <c r="E119" s="21" t="s">
        <v>333</v>
      </c>
      <c r="F119" s="21" t="s">
        <v>259</v>
      </c>
      <c r="G119" s="24">
        <v>2</v>
      </c>
      <c r="H119" s="25">
        <v>4</v>
      </c>
      <c r="I119" s="21" t="s">
        <v>274</v>
      </c>
      <c r="J119" s="21" t="s">
        <v>119</v>
      </c>
      <c r="K119" s="21" t="s">
        <v>762</v>
      </c>
    </row>
    <row r="120" spans="1:11" x14ac:dyDescent="0.25">
      <c r="A120" s="23" t="s">
        <v>469</v>
      </c>
      <c r="C120" s="21" t="s">
        <v>24</v>
      </c>
      <c r="D120" s="21" t="s">
        <v>258</v>
      </c>
      <c r="E120" s="21" t="s">
        <v>334</v>
      </c>
      <c r="F120" s="21" t="s">
        <v>259</v>
      </c>
      <c r="G120" s="24">
        <v>2</v>
      </c>
      <c r="H120" s="25">
        <v>6</v>
      </c>
      <c r="I120" s="21" t="s">
        <v>275</v>
      </c>
      <c r="J120" s="21" t="s">
        <v>120</v>
      </c>
      <c r="K120" s="21" t="s">
        <v>763</v>
      </c>
    </row>
    <row r="121" spans="1:11" x14ac:dyDescent="0.25">
      <c r="A121" s="23" t="s">
        <v>470</v>
      </c>
      <c r="B121" s="1" t="s">
        <v>661</v>
      </c>
      <c r="C121" s="21" t="s">
        <v>647</v>
      </c>
      <c r="D121" s="21" t="s">
        <v>256</v>
      </c>
      <c r="E121" s="21" t="s">
        <v>334</v>
      </c>
      <c r="F121" s="21" t="s">
        <v>256</v>
      </c>
      <c r="G121" s="24">
        <v>2</v>
      </c>
      <c r="H121" s="25">
        <v>5</v>
      </c>
      <c r="I121" s="21" t="s">
        <v>609</v>
      </c>
      <c r="J121" s="21" t="s">
        <v>699</v>
      </c>
      <c r="K121" s="21" t="s">
        <v>656</v>
      </c>
    </row>
    <row r="122" spans="1:11" x14ac:dyDescent="0.25">
      <c r="A122" s="23" t="s">
        <v>471</v>
      </c>
      <c r="C122" s="21" t="s">
        <v>27</v>
      </c>
      <c r="D122" s="21"/>
      <c r="E122" s="21" t="s">
        <v>335</v>
      </c>
      <c r="F122" s="21" t="s">
        <v>67</v>
      </c>
      <c r="G122" s="24">
        <v>1</v>
      </c>
      <c r="H122" s="25">
        <v>2</v>
      </c>
      <c r="I122" s="21" t="s">
        <v>269</v>
      </c>
      <c r="J122" s="21" t="s">
        <v>27</v>
      </c>
      <c r="K122" s="21" t="s">
        <v>285</v>
      </c>
    </row>
    <row r="123" spans="1:11" x14ac:dyDescent="0.25">
      <c r="A123" s="23" t="s">
        <v>472</v>
      </c>
      <c r="C123" s="21" t="s">
        <v>23</v>
      </c>
      <c r="D123" s="21" t="s">
        <v>66</v>
      </c>
      <c r="E123" s="21" t="s">
        <v>333</v>
      </c>
      <c r="F123" s="21" t="s">
        <v>257</v>
      </c>
      <c r="G123" s="24">
        <v>3</v>
      </c>
      <c r="H123" s="25">
        <v>4</v>
      </c>
      <c r="I123" s="21" t="s">
        <v>274</v>
      </c>
      <c r="J123" s="21" t="s">
        <v>121</v>
      </c>
      <c r="K123" s="21" t="s">
        <v>764</v>
      </c>
    </row>
    <row r="124" spans="1:11" x14ac:dyDescent="0.25">
      <c r="A124" s="23" t="s">
        <v>473</v>
      </c>
      <c r="C124" s="21" t="s">
        <v>616</v>
      </c>
      <c r="D124" s="21"/>
      <c r="E124" s="21" t="s">
        <v>337</v>
      </c>
      <c r="F124" s="21" t="s">
        <v>67</v>
      </c>
      <c r="G124" s="24">
        <v>1</v>
      </c>
      <c r="H124" s="25">
        <v>4</v>
      </c>
      <c r="I124" s="21" t="s">
        <v>273</v>
      </c>
      <c r="J124" s="21" t="s">
        <v>616</v>
      </c>
      <c r="K124" s="21" t="s">
        <v>663</v>
      </c>
    </row>
    <row r="125" spans="1:11" x14ac:dyDescent="0.25">
      <c r="A125" s="23" t="s">
        <v>474</v>
      </c>
      <c r="B125" s="1" t="s">
        <v>350</v>
      </c>
      <c r="C125" s="21" t="s">
        <v>53</v>
      </c>
      <c r="D125" s="21"/>
      <c r="E125" s="21" t="s">
        <v>335</v>
      </c>
      <c r="F125" s="21" t="s">
        <v>67</v>
      </c>
      <c r="G125" s="24">
        <v>1</v>
      </c>
      <c r="H125" s="25">
        <v>2</v>
      </c>
      <c r="I125" s="21" t="s">
        <v>265</v>
      </c>
      <c r="J125" s="21" t="s">
        <v>53</v>
      </c>
      <c r="K125" s="21" t="s">
        <v>286</v>
      </c>
    </row>
    <row r="126" spans="1:11" x14ac:dyDescent="0.25">
      <c r="A126" s="23" t="s">
        <v>475</v>
      </c>
      <c r="C126" s="1" t="s">
        <v>19</v>
      </c>
      <c r="D126" s="1" t="s">
        <v>659</v>
      </c>
      <c r="E126" s="21" t="s">
        <v>311</v>
      </c>
      <c r="F126" s="21" t="s">
        <v>662</v>
      </c>
      <c r="G126" s="24">
        <v>3</v>
      </c>
      <c r="H126" s="25">
        <v>6</v>
      </c>
      <c r="I126" s="21" t="s">
        <v>265</v>
      </c>
      <c r="J126" s="21" t="s">
        <v>700</v>
      </c>
      <c r="K126" s="21" t="s">
        <v>819</v>
      </c>
    </row>
    <row r="127" spans="1:11" x14ac:dyDescent="0.25">
      <c r="A127" s="23" t="s">
        <v>476</v>
      </c>
      <c r="C127" s="21" t="s">
        <v>23</v>
      </c>
      <c r="D127" s="21" t="s">
        <v>65</v>
      </c>
      <c r="E127" s="21" t="s">
        <v>333</v>
      </c>
      <c r="F127" s="21" t="s">
        <v>257</v>
      </c>
      <c r="G127" s="24">
        <v>3</v>
      </c>
      <c r="H127" s="25">
        <v>4</v>
      </c>
      <c r="I127" s="21" t="s">
        <v>274</v>
      </c>
      <c r="J127" s="21" t="s">
        <v>122</v>
      </c>
      <c r="K127" s="21" t="s">
        <v>765</v>
      </c>
    </row>
    <row r="128" spans="1:11" x14ac:dyDescent="0.25">
      <c r="A128" s="23" t="s">
        <v>477</v>
      </c>
      <c r="C128" s="21" t="s">
        <v>24</v>
      </c>
      <c r="D128" s="21" t="s">
        <v>65</v>
      </c>
      <c r="E128" s="21" t="s">
        <v>334</v>
      </c>
      <c r="F128" s="21" t="s">
        <v>257</v>
      </c>
      <c r="G128" s="24">
        <v>3</v>
      </c>
      <c r="H128" s="25">
        <v>7</v>
      </c>
      <c r="I128" s="21" t="s">
        <v>275</v>
      </c>
      <c r="J128" s="21" t="s">
        <v>123</v>
      </c>
      <c r="K128" s="21" t="s">
        <v>754</v>
      </c>
    </row>
    <row r="129" spans="1:11" x14ac:dyDescent="0.25">
      <c r="A129" s="23" t="s">
        <v>478</v>
      </c>
      <c r="B129" s="1" t="s">
        <v>661</v>
      </c>
      <c r="C129" s="21" t="s">
        <v>629</v>
      </c>
      <c r="D129" s="21" t="s">
        <v>621</v>
      </c>
      <c r="E129" s="21" t="s">
        <v>311</v>
      </c>
      <c r="F129" s="21" t="s">
        <v>620</v>
      </c>
      <c r="G129" s="24">
        <v>3</v>
      </c>
      <c r="H129" s="25" t="s">
        <v>295</v>
      </c>
      <c r="I129" s="21" t="s">
        <v>265</v>
      </c>
      <c r="J129" s="21" t="s">
        <v>701</v>
      </c>
      <c r="K129" s="21" t="s">
        <v>639</v>
      </c>
    </row>
    <row r="130" spans="1:11" x14ac:dyDescent="0.25">
      <c r="A130" s="23" t="s">
        <v>479</v>
      </c>
      <c r="C130" s="1" t="s">
        <v>660</v>
      </c>
      <c r="D130" s="1" t="s">
        <v>64</v>
      </c>
      <c r="E130" s="21" t="s">
        <v>311</v>
      </c>
      <c r="F130" s="21" t="s">
        <v>261</v>
      </c>
      <c r="G130" s="24">
        <v>2</v>
      </c>
      <c r="H130" s="25">
        <v>3</v>
      </c>
      <c r="I130" s="21" t="s">
        <v>265</v>
      </c>
      <c r="J130" s="21" t="s">
        <v>702</v>
      </c>
      <c r="K130" s="21" t="s">
        <v>726</v>
      </c>
    </row>
    <row r="131" spans="1:11" x14ac:dyDescent="0.25">
      <c r="A131" s="23" t="s">
        <v>480</v>
      </c>
      <c r="C131" s="21" t="s">
        <v>28</v>
      </c>
      <c r="D131" s="21" t="s">
        <v>255</v>
      </c>
      <c r="E131" s="21" t="s">
        <v>336</v>
      </c>
      <c r="F131" s="21" t="s">
        <v>254</v>
      </c>
      <c r="G131" s="24">
        <v>2</v>
      </c>
      <c r="H131" s="25">
        <v>6</v>
      </c>
      <c r="I131" s="21" t="s">
        <v>265</v>
      </c>
      <c r="J131" s="21" t="s">
        <v>124</v>
      </c>
      <c r="K131" s="21" t="s">
        <v>766</v>
      </c>
    </row>
    <row r="132" spans="1:11" x14ac:dyDescent="0.25">
      <c r="A132" s="23" t="s">
        <v>481</v>
      </c>
      <c r="B132" s="1" t="s">
        <v>350</v>
      </c>
      <c r="C132" s="21" t="s">
        <v>53</v>
      </c>
      <c r="D132" s="21"/>
      <c r="E132" s="21" t="s">
        <v>335</v>
      </c>
      <c r="F132" s="21" t="s">
        <v>67</v>
      </c>
      <c r="G132" s="24">
        <v>1</v>
      </c>
      <c r="H132" s="25">
        <v>2</v>
      </c>
      <c r="I132" s="21" t="s">
        <v>265</v>
      </c>
      <c r="J132" s="21" t="s">
        <v>53</v>
      </c>
      <c r="K132" s="21" t="s">
        <v>286</v>
      </c>
    </row>
    <row r="133" spans="1:11" x14ac:dyDescent="0.25">
      <c r="A133" s="23" t="s">
        <v>482</v>
      </c>
      <c r="B133" s="1" t="s">
        <v>350</v>
      </c>
      <c r="C133" s="21" t="s">
        <v>53</v>
      </c>
      <c r="D133" s="21"/>
      <c r="E133" s="21" t="s">
        <v>335</v>
      </c>
      <c r="F133" s="21" t="s">
        <v>67</v>
      </c>
      <c r="G133" s="24">
        <v>1</v>
      </c>
      <c r="H133" s="25">
        <v>2</v>
      </c>
      <c r="I133" s="21" t="s">
        <v>265</v>
      </c>
      <c r="J133" s="21" t="s">
        <v>53</v>
      </c>
      <c r="K133" s="21" t="s">
        <v>286</v>
      </c>
    </row>
    <row r="134" spans="1:11" x14ac:dyDescent="0.25">
      <c r="A134" s="23" t="s">
        <v>483</v>
      </c>
      <c r="C134" s="21" t="s">
        <v>29</v>
      </c>
      <c r="D134" s="21" t="s">
        <v>256</v>
      </c>
      <c r="E134" s="21" t="s">
        <v>336</v>
      </c>
      <c r="F134" s="21" t="s">
        <v>256</v>
      </c>
      <c r="G134" s="24">
        <v>2</v>
      </c>
      <c r="H134" s="25">
        <v>3</v>
      </c>
      <c r="I134" s="21" t="s">
        <v>265</v>
      </c>
      <c r="J134" s="21" t="s">
        <v>125</v>
      </c>
      <c r="K134" s="21" t="s">
        <v>767</v>
      </c>
    </row>
    <row r="135" spans="1:11" x14ac:dyDescent="0.25">
      <c r="A135" s="23" t="s">
        <v>484</v>
      </c>
      <c r="C135" s="21" t="s">
        <v>28</v>
      </c>
      <c r="D135" s="21" t="s">
        <v>256</v>
      </c>
      <c r="E135" s="21" t="s">
        <v>336</v>
      </c>
      <c r="F135" s="21" t="s">
        <v>256</v>
      </c>
      <c r="G135" s="24">
        <v>2</v>
      </c>
      <c r="H135" s="25">
        <v>3</v>
      </c>
      <c r="I135" s="21" t="s">
        <v>265</v>
      </c>
      <c r="J135" s="21" t="s">
        <v>126</v>
      </c>
      <c r="K135" s="21" t="s">
        <v>768</v>
      </c>
    </row>
    <row r="136" spans="1:11" x14ac:dyDescent="0.25">
      <c r="A136" s="23" t="s">
        <v>485</v>
      </c>
      <c r="C136" s="21" t="s">
        <v>30</v>
      </c>
      <c r="D136" s="21" t="s">
        <v>256</v>
      </c>
      <c r="E136" s="21" t="s">
        <v>336</v>
      </c>
      <c r="F136" s="21" t="s">
        <v>256</v>
      </c>
      <c r="G136" s="24">
        <v>2</v>
      </c>
      <c r="H136" s="25">
        <v>3</v>
      </c>
      <c r="I136" s="21" t="s">
        <v>265</v>
      </c>
      <c r="J136" s="21" t="s">
        <v>127</v>
      </c>
      <c r="K136" s="21" t="s">
        <v>769</v>
      </c>
    </row>
    <row r="137" spans="1:11" x14ac:dyDescent="0.25">
      <c r="A137" s="23" t="s">
        <v>486</v>
      </c>
      <c r="B137" s="1" t="s">
        <v>661</v>
      </c>
      <c r="C137" s="21" t="s">
        <v>648</v>
      </c>
      <c r="D137" s="21" t="s">
        <v>256</v>
      </c>
      <c r="E137" s="21" t="s">
        <v>334</v>
      </c>
      <c r="F137" s="21" t="s">
        <v>256</v>
      </c>
      <c r="G137" s="24">
        <v>2</v>
      </c>
      <c r="H137" s="25">
        <v>5</v>
      </c>
      <c r="I137" s="21" t="s">
        <v>609</v>
      </c>
      <c r="J137" s="21" t="s">
        <v>703</v>
      </c>
      <c r="K137" s="21" t="s">
        <v>657</v>
      </c>
    </row>
    <row r="138" spans="1:11" x14ac:dyDescent="0.25">
      <c r="A138" s="23" t="s">
        <v>487</v>
      </c>
      <c r="C138" s="21" t="s">
        <v>31</v>
      </c>
      <c r="D138" s="21"/>
      <c r="E138" s="21" t="s">
        <v>333</v>
      </c>
      <c r="F138" s="21" t="s">
        <v>67</v>
      </c>
      <c r="G138" s="24">
        <v>1</v>
      </c>
      <c r="H138" s="25">
        <v>2</v>
      </c>
      <c r="I138" s="21" t="s">
        <v>273</v>
      </c>
      <c r="J138" s="21" t="s">
        <v>31</v>
      </c>
      <c r="K138" s="21" t="s">
        <v>770</v>
      </c>
    </row>
    <row r="139" spans="1:11" x14ac:dyDescent="0.25">
      <c r="A139" s="23" t="s">
        <v>488</v>
      </c>
      <c r="C139" s="1" t="s">
        <v>9</v>
      </c>
      <c r="D139" s="1" t="s">
        <v>59</v>
      </c>
      <c r="E139" s="21" t="s">
        <v>334</v>
      </c>
      <c r="F139" s="21" t="s">
        <v>59</v>
      </c>
      <c r="G139" s="24">
        <v>2</v>
      </c>
      <c r="H139" s="25">
        <v>2</v>
      </c>
      <c r="I139" s="21" t="s">
        <v>277</v>
      </c>
      <c r="J139" s="21" t="s">
        <v>704</v>
      </c>
      <c r="K139" s="21" t="s">
        <v>817</v>
      </c>
    </row>
    <row r="140" spans="1:11" x14ac:dyDescent="0.25">
      <c r="A140" s="23" t="s">
        <v>489</v>
      </c>
      <c r="C140" s="21" t="s">
        <v>32</v>
      </c>
      <c r="D140" s="21"/>
      <c r="E140" s="21" t="s">
        <v>336</v>
      </c>
      <c r="F140" s="21" t="s">
        <v>67</v>
      </c>
      <c r="G140" s="24">
        <v>1</v>
      </c>
      <c r="H140" s="25">
        <v>2</v>
      </c>
      <c r="I140" s="21" t="s">
        <v>273</v>
      </c>
      <c r="J140" s="21" t="s">
        <v>32</v>
      </c>
      <c r="K140" s="21" t="s">
        <v>287</v>
      </c>
    </row>
    <row r="141" spans="1:11" x14ac:dyDescent="0.25">
      <c r="A141" s="23" t="s">
        <v>490</v>
      </c>
      <c r="B141" s="1" t="s">
        <v>350</v>
      </c>
      <c r="C141" s="21" t="s">
        <v>53</v>
      </c>
      <c r="D141" s="21"/>
      <c r="E141" s="21" t="s">
        <v>335</v>
      </c>
      <c r="F141" s="21" t="s">
        <v>67</v>
      </c>
      <c r="G141" s="24">
        <v>1</v>
      </c>
      <c r="H141" s="25">
        <v>2</v>
      </c>
      <c r="I141" s="21" t="s">
        <v>265</v>
      </c>
      <c r="J141" s="21" t="s">
        <v>53</v>
      </c>
      <c r="K141" s="21" t="s">
        <v>286</v>
      </c>
    </row>
    <row r="142" spans="1:11" x14ac:dyDescent="0.25">
      <c r="A142" s="23" t="s">
        <v>491</v>
      </c>
      <c r="C142" s="21" t="s">
        <v>29</v>
      </c>
      <c r="D142" s="21" t="s">
        <v>60</v>
      </c>
      <c r="E142" s="21" t="s">
        <v>336</v>
      </c>
      <c r="F142" s="21" t="s">
        <v>60</v>
      </c>
      <c r="G142" s="24">
        <v>3</v>
      </c>
      <c r="H142" s="25">
        <v>3</v>
      </c>
      <c r="I142" s="21" t="s">
        <v>265</v>
      </c>
      <c r="J142" s="21" t="s">
        <v>128</v>
      </c>
      <c r="K142" s="21" t="s">
        <v>329</v>
      </c>
    </row>
    <row r="143" spans="1:11" x14ac:dyDescent="0.25">
      <c r="A143" s="23" t="s">
        <v>492</v>
      </c>
      <c r="C143" s="21" t="s">
        <v>28</v>
      </c>
      <c r="D143" s="21" t="s">
        <v>60</v>
      </c>
      <c r="E143" s="21" t="s">
        <v>336</v>
      </c>
      <c r="F143" s="21" t="s">
        <v>60</v>
      </c>
      <c r="G143" s="24">
        <v>3</v>
      </c>
      <c r="H143" s="25">
        <v>3</v>
      </c>
      <c r="I143" s="21" t="s">
        <v>265</v>
      </c>
      <c r="J143" s="21" t="s">
        <v>129</v>
      </c>
      <c r="K143" s="21" t="s">
        <v>325</v>
      </c>
    </row>
    <row r="144" spans="1:11" x14ac:dyDescent="0.25">
      <c r="A144" s="23" t="s">
        <v>493</v>
      </c>
      <c r="C144" s="21" t="s">
        <v>30</v>
      </c>
      <c r="D144" s="21" t="s">
        <v>60</v>
      </c>
      <c r="E144" s="21" t="s">
        <v>336</v>
      </c>
      <c r="F144" s="21" t="s">
        <v>60</v>
      </c>
      <c r="G144" s="24">
        <v>3</v>
      </c>
      <c r="H144" s="25">
        <v>3</v>
      </c>
      <c r="I144" s="21" t="s">
        <v>265</v>
      </c>
      <c r="J144" s="21" t="s">
        <v>130</v>
      </c>
      <c r="K144" s="21" t="s">
        <v>330</v>
      </c>
    </row>
    <row r="145" spans="1:11" x14ac:dyDescent="0.25">
      <c r="A145" s="23" t="s">
        <v>494</v>
      </c>
      <c r="B145" s="1" t="s">
        <v>661</v>
      </c>
      <c r="C145" s="21" t="s">
        <v>630</v>
      </c>
      <c r="D145" s="21" t="s">
        <v>621</v>
      </c>
      <c r="E145" s="21" t="s">
        <v>311</v>
      </c>
      <c r="F145" s="21" t="s">
        <v>620</v>
      </c>
      <c r="G145" s="24">
        <v>3</v>
      </c>
      <c r="H145" s="25" t="s">
        <v>295</v>
      </c>
      <c r="I145" s="21" t="s">
        <v>265</v>
      </c>
      <c r="J145" s="21" t="s">
        <v>705</v>
      </c>
      <c r="K145" s="21" t="s">
        <v>638</v>
      </c>
    </row>
    <row r="146" spans="1:11" x14ac:dyDescent="0.25">
      <c r="A146" s="23" t="s">
        <v>495</v>
      </c>
      <c r="C146" s="21" t="s">
        <v>33</v>
      </c>
      <c r="D146" s="21" t="s">
        <v>64</v>
      </c>
      <c r="E146" s="21" t="s">
        <v>311</v>
      </c>
      <c r="F146" s="21" t="s">
        <v>261</v>
      </c>
      <c r="G146" s="24">
        <v>2</v>
      </c>
      <c r="H146" s="25" t="s">
        <v>295</v>
      </c>
      <c r="I146" s="21" t="s">
        <v>265</v>
      </c>
      <c r="J146" s="21" t="s">
        <v>131</v>
      </c>
      <c r="K146" s="21" t="s">
        <v>308</v>
      </c>
    </row>
    <row r="147" spans="1:11" x14ac:dyDescent="0.25">
      <c r="A147" s="23" t="s">
        <v>496</v>
      </c>
      <c r="C147" s="21" t="s">
        <v>28</v>
      </c>
      <c r="D147" s="21" t="s">
        <v>252</v>
      </c>
      <c r="E147" s="21" t="s">
        <v>336</v>
      </c>
      <c r="F147" s="21" t="s">
        <v>253</v>
      </c>
      <c r="G147" s="24">
        <v>2</v>
      </c>
      <c r="H147" s="25">
        <v>6</v>
      </c>
      <c r="I147" s="21" t="s">
        <v>265</v>
      </c>
      <c r="J147" s="21" t="s">
        <v>132</v>
      </c>
      <c r="K147" s="21" t="s">
        <v>771</v>
      </c>
    </row>
    <row r="148" spans="1:11" x14ac:dyDescent="0.25">
      <c r="A148" s="23" t="s">
        <v>497</v>
      </c>
      <c r="C148" s="1" t="s">
        <v>28</v>
      </c>
      <c r="D148" s="1" t="s">
        <v>619</v>
      </c>
      <c r="E148" s="21" t="s">
        <v>336</v>
      </c>
      <c r="F148" s="21" t="s">
        <v>251</v>
      </c>
      <c r="G148" s="24">
        <v>2</v>
      </c>
      <c r="H148" s="25">
        <v>5</v>
      </c>
      <c r="I148" s="21" t="s">
        <v>265</v>
      </c>
      <c r="J148" s="21" t="s">
        <v>706</v>
      </c>
      <c r="K148" s="21" t="s">
        <v>772</v>
      </c>
    </row>
    <row r="149" spans="1:11" x14ac:dyDescent="0.25">
      <c r="A149" s="23" t="s">
        <v>498</v>
      </c>
      <c r="B149" s="1" t="s">
        <v>350</v>
      </c>
      <c r="C149" s="21" t="s">
        <v>53</v>
      </c>
      <c r="D149" s="21"/>
      <c r="E149" s="21" t="s">
        <v>335</v>
      </c>
      <c r="F149" s="21" t="s">
        <v>67</v>
      </c>
      <c r="G149" s="24">
        <v>1</v>
      </c>
      <c r="H149" s="25">
        <v>2</v>
      </c>
      <c r="I149" s="21" t="s">
        <v>265</v>
      </c>
      <c r="J149" s="21" t="s">
        <v>53</v>
      </c>
      <c r="K149" s="21" t="s">
        <v>286</v>
      </c>
    </row>
    <row r="150" spans="1:11" x14ac:dyDescent="0.25">
      <c r="A150" s="23" t="s">
        <v>499</v>
      </c>
      <c r="C150" s="21" t="s">
        <v>29</v>
      </c>
      <c r="D150" s="21" t="s">
        <v>258</v>
      </c>
      <c r="E150" s="21" t="s">
        <v>336</v>
      </c>
      <c r="F150" s="21" t="s">
        <v>259</v>
      </c>
      <c r="G150" s="24">
        <v>2</v>
      </c>
      <c r="H150" s="25">
        <v>4</v>
      </c>
      <c r="I150" s="21" t="s">
        <v>265</v>
      </c>
      <c r="J150" s="21" t="s">
        <v>133</v>
      </c>
      <c r="K150" s="21" t="s">
        <v>331</v>
      </c>
    </row>
    <row r="151" spans="1:11" x14ac:dyDescent="0.25">
      <c r="A151" s="23" t="s">
        <v>500</v>
      </c>
      <c r="C151" s="21" t="s">
        <v>28</v>
      </c>
      <c r="D151" s="21" t="s">
        <v>258</v>
      </c>
      <c r="E151" s="21" t="s">
        <v>336</v>
      </c>
      <c r="F151" s="21" t="s">
        <v>259</v>
      </c>
      <c r="G151" s="24">
        <v>2</v>
      </c>
      <c r="H151" s="25">
        <v>4</v>
      </c>
      <c r="I151" s="21" t="s">
        <v>265</v>
      </c>
      <c r="J151" s="21" t="s">
        <v>134</v>
      </c>
      <c r="K151" s="21" t="s">
        <v>326</v>
      </c>
    </row>
    <row r="152" spans="1:11" x14ac:dyDescent="0.25">
      <c r="A152" s="23" t="s">
        <v>501</v>
      </c>
      <c r="C152" s="21" t="s">
        <v>30</v>
      </c>
      <c r="D152" s="21" t="s">
        <v>260</v>
      </c>
      <c r="E152" s="21" t="s">
        <v>336</v>
      </c>
      <c r="F152" s="21" t="s">
        <v>259</v>
      </c>
      <c r="G152" s="24">
        <v>2</v>
      </c>
      <c r="H152" s="25">
        <v>4</v>
      </c>
      <c r="I152" s="21" t="s">
        <v>265</v>
      </c>
      <c r="J152" s="21" t="s">
        <v>135</v>
      </c>
      <c r="K152" s="21" t="s">
        <v>332</v>
      </c>
    </row>
    <row r="153" spans="1:11" x14ac:dyDescent="0.25">
      <c r="A153" s="23" t="s">
        <v>502</v>
      </c>
      <c r="B153" s="1" t="s">
        <v>661</v>
      </c>
      <c r="C153" s="21" t="s">
        <v>649</v>
      </c>
      <c r="D153" s="21" t="s">
        <v>256</v>
      </c>
      <c r="E153" s="21" t="s">
        <v>334</v>
      </c>
      <c r="F153" s="21" t="s">
        <v>256</v>
      </c>
      <c r="G153" s="24">
        <v>2</v>
      </c>
      <c r="H153" s="25">
        <v>5</v>
      </c>
      <c r="I153" s="21" t="s">
        <v>609</v>
      </c>
      <c r="J153" s="21" t="s">
        <v>707</v>
      </c>
      <c r="K153" s="21" t="s">
        <v>657</v>
      </c>
    </row>
    <row r="154" spans="1:11" x14ac:dyDescent="0.25">
      <c r="A154" s="23" t="s">
        <v>503</v>
      </c>
      <c r="C154" s="21" t="s">
        <v>34</v>
      </c>
      <c r="D154" s="21"/>
      <c r="E154" s="21" t="s">
        <v>336</v>
      </c>
      <c r="F154" s="21" t="s">
        <v>67</v>
      </c>
      <c r="G154" s="24">
        <v>1</v>
      </c>
      <c r="H154" s="25">
        <v>2</v>
      </c>
      <c r="I154" s="21" t="s">
        <v>273</v>
      </c>
      <c r="J154" s="21" t="s">
        <v>34</v>
      </c>
      <c r="K154" s="21" t="s">
        <v>288</v>
      </c>
    </row>
    <row r="155" spans="1:11" x14ac:dyDescent="0.25">
      <c r="A155" s="23" t="s">
        <v>504</v>
      </c>
      <c r="C155" s="21" t="s">
        <v>28</v>
      </c>
      <c r="D155" s="21" t="s">
        <v>66</v>
      </c>
      <c r="E155" s="21" t="s">
        <v>336</v>
      </c>
      <c r="F155" s="21" t="s">
        <v>257</v>
      </c>
      <c r="G155" s="24">
        <v>3</v>
      </c>
      <c r="H155" s="25">
        <v>5</v>
      </c>
      <c r="I155" s="21" t="s">
        <v>265</v>
      </c>
      <c r="J155" s="21" t="s">
        <v>136</v>
      </c>
      <c r="K155" s="21" t="s">
        <v>327</v>
      </c>
    </row>
    <row r="156" spans="1:11" x14ac:dyDescent="0.25">
      <c r="A156" s="23" t="s">
        <v>505</v>
      </c>
      <c r="C156" s="21" t="s">
        <v>35</v>
      </c>
      <c r="D156" s="21"/>
      <c r="E156" s="21" t="s">
        <v>337</v>
      </c>
      <c r="F156" s="21" t="s">
        <v>67</v>
      </c>
      <c r="G156" s="24">
        <v>1</v>
      </c>
      <c r="H156" s="25">
        <v>2</v>
      </c>
      <c r="I156" s="21" t="s">
        <v>265</v>
      </c>
      <c r="J156" s="21" t="s">
        <v>35</v>
      </c>
      <c r="K156" s="21" t="s">
        <v>291</v>
      </c>
    </row>
    <row r="157" spans="1:11" x14ac:dyDescent="0.25">
      <c r="A157" s="23" t="s">
        <v>506</v>
      </c>
      <c r="B157" s="1" t="s">
        <v>350</v>
      </c>
      <c r="C157" s="21" t="s">
        <v>53</v>
      </c>
      <c r="D157" s="21"/>
      <c r="E157" s="21" t="s">
        <v>335</v>
      </c>
      <c r="F157" s="21" t="s">
        <v>67</v>
      </c>
      <c r="G157" s="24">
        <v>1</v>
      </c>
      <c r="H157" s="25">
        <v>2</v>
      </c>
      <c r="I157" s="21" t="s">
        <v>265</v>
      </c>
      <c r="J157" s="21" t="s">
        <v>53</v>
      </c>
      <c r="K157" s="21" t="s">
        <v>286</v>
      </c>
    </row>
    <row r="158" spans="1:11" x14ac:dyDescent="0.25">
      <c r="A158" s="23" t="s">
        <v>507</v>
      </c>
      <c r="C158" s="1" t="s">
        <v>658</v>
      </c>
      <c r="D158" s="1" t="s">
        <v>60</v>
      </c>
      <c r="E158" s="21" t="s">
        <v>336</v>
      </c>
      <c r="F158" s="21" t="s">
        <v>60</v>
      </c>
      <c r="G158" s="24">
        <v>3</v>
      </c>
      <c r="H158" s="25">
        <v>4</v>
      </c>
      <c r="I158" s="21" t="s">
        <v>265</v>
      </c>
      <c r="J158" s="21" t="s">
        <v>708</v>
      </c>
      <c r="K158" s="21" t="s">
        <v>773</v>
      </c>
    </row>
    <row r="159" spans="1:11" x14ac:dyDescent="0.25">
      <c r="A159" s="23" t="s">
        <v>508</v>
      </c>
      <c r="C159" s="21" t="s">
        <v>28</v>
      </c>
      <c r="D159" s="21" t="s">
        <v>65</v>
      </c>
      <c r="E159" s="21" t="s">
        <v>336</v>
      </c>
      <c r="F159" s="21" t="s">
        <v>257</v>
      </c>
      <c r="G159" s="24">
        <v>3</v>
      </c>
      <c r="H159" s="25">
        <v>5</v>
      </c>
      <c r="I159" s="21" t="s">
        <v>265</v>
      </c>
      <c r="J159" s="21" t="s">
        <v>137</v>
      </c>
      <c r="K159" s="21" t="s">
        <v>328</v>
      </c>
    </row>
    <row r="160" spans="1:11" x14ac:dyDescent="0.25">
      <c r="A160" s="23" t="s">
        <v>509</v>
      </c>
      <c r="C160" s="1" t="s">
        <v>658</v>
      </c>
      <c r="D160" s="1" t="s">
        <v>65</v>
      </c>
      <c r="E160" s="21" t="s">
        <v>336</v>
      </c>
      <c r="F160" s="21" t="s">
        <v>257</v>
      </c>
      <c r="G160" s="24">
        <v>3</v>
      </c>
      <c r="H160" s="25">
        <v>5</v>
      </c>
      <c r="I160" s="21" t="s">
        <v>265</v>
      </c>
      <c r="J160" s="21" t="s">
        <v>709</v>
      </c>
      <c r="K160" s="21" t="s">
        <v>774</v>
      </c>
    </row>
    <row r="161" spans="1:11" x14ac:dyDescent="0.25">
      <c r="A161" s="23" t="s">
        <v>510</v>
      </c>
      <c r="B161" s="1" t="s">
        <v>661</v>
      </c>
      <c r="C161" s="21" t="s">
        <v>631</v>
      </c>
      <c r="D161" s="21" t="s">
        <v>621</v>
      </c>
      <c r="E161" s="21" t="s">
        <v>311</v>
      </c>
      <c r="F161" s="21" t="s">
        <v>620</v>
      </c>
      <c r="G161" s="24">
        <v>3</v>
      </c>
      <c r="H161" s="25" t="s">
        <v>295</v>
      </c>
      <c r="I161" s="21" t="s">
        <v>265</v>
      </c>
      <c r="J161" s="21" t="s">
        <v>710</v>
      </c>
      <c r="K161" s="21" t="s">
        <v>638</v>
      </c>
    </row>
    <row r="162" spans="1:11" x14ac:dyDescent="0.25">
      <c r="A162" s="23" t="s">
        <v>511</v>
      </c>
      <c r="C162" s="21" t="s">
        <v>36</v>
      </c>
      <c r="D162" s="21" t="s">
        <v>59</v>
      </c>
      <c r="E162" s="21" t="s">
        <v>336</v>
      </c>
      <c r="F162" s="21" t="s">
        <v>59</v>
      </c>
      <c r="G162" s="24">
        <v>2</v>
      </c>
      <c r="H162" s="25">
        <v>2</v>
      </c>
      <c r="I162" s="21" t="s">
        <v>273</v>
      </c>
      <c r="J162" s="21" t="s">
        <v>138</v>
      </c>
      <c r="K162" s="21" t="s">
        <v>278</v>
      </c>
    </row>
    <row r="163" spans="1:11" x14ac:dyDescent="0.25">
      <c r="A163" s="23" t="s">
        <v>512</v>
      </c>
      <c r="C163" s="21" t="s">
        <v>37</v>
      </c>
      <c r="D163" s="21" t="s">
        <v>255</v>
      </c>
      <c r="E163" s="21" t="s">
        <v>336</v>
      </c>
      <c r="F163" s="21" t="s">
        <v>254</v>
      </c>
      <c r="G163" s="24">
        <v>2</v>
      </c>
      <c r="H163" s="25">
        <v>6</v>
      </c>
      <c r="I163" s="21" t="s">
        <v>273</v>
      </c>
      <c r="J163" s="21" t="s">
        <v>139</v>
      </c>
      <c r="K163" s="21" t="s">
        <v>775</v>
      </c>
    </row>
    <row r="164" spans="1:11" x14ac:dyDescent="0.25">
      <c r="A164" s="23" t="s">
        <v>513</v>
      </c>
      <c r="C164" s="21" t="s">
        <v>38</v>
      </c>
      <c r="D164" s="21" t="s">
        <v>59</v>
      </c>
      <c r="E164" s="21" t="s">
        <v>336</v>
      </c>
      <c r="F164" s="21" t="s">
        <v>59</v>
      </c>
      <c r="G164" s="24">
        <v>2</v>
      </c>
      <c r="H164" s="25">
        <v>2</v>
      </c>
      <c r="I164" s="21" t="s">
        <v>273</v>
      </c>
      <c r="J164" s="21" t="s">
        <v>140</v>
      </c>
      <c r="K164" s="21" t="s">
        <v>279</v>
      </c>
    </row>
    <row r="165" spans="1:11" x14ac:dyDescent="0.25">
      <c r="A165" s="23" t="s">
        <v>514</v>
      </c>
      <c r="B165" s="1" t="s">
        <v>350</v>
      </c>
      <c r="C165" s="21" t="s">
        <v>53</v>
      </c>
      <c r="D165" s="21"/>
      <c r="E165" s="21" t="s">
        <v>335</v>
      </c>
      <c r="F165" s="21" t="s">
        <v>67</v>
      </c>
      <c r="G165" s="24">
        <v>1</v>
      </c>
      <c r="H165" s="25">
        <v>2</v>
      </c>
      <c r="I165" s="21" t="s">
        <v>265</v>
      </c>
      <c r="J165" s="21" t="s">
        <v>53</v>
      </c>
      <c r="K165" s="21" t="s">
        <v>286</v>
      </c>
    </row>
    <row r="166" spans="1:11" x14ac:dyDescent="0.25">
      <c r="A166" s="23" t="s">
        <v>515</v>
      </c>
      <c r="C166" s="21" t="s">
        <v>36</v>
      </c>
      <c r="D166" s="21" t="s">
        <v>256</v>
      </c>
      <c r="E166" s="21" t="s">
        <v>336</v>
      </c>
      <c r="F166" s="21" t="s">
        <v>256</v>
      </c>
      <c r="G166" s="24">
        <v>2</v>
      </c>
      <c r="H166" s="25">
        <v>3</v>
      </c>
      <c r="I166" s="21" t="s">
        <v>273</v>
      </c>
      <c r="J166" s="21" t="s">
        <v>141</v>
      </c>
      <c r="K166" s="21" t="s">
        <v>776</v>
      </c>
    </row>
    <row r="167" spans="1:11" x14ac:dyDescent="0.25">
      <c r="A167" s="23" t="s">
        <v>516</v>
      </c>
      <c r="C167" s="21" t="s">
        <v>37</v>
      </c>
      <c r="D167" s="21" t="s">
        <v>256</v>
      </c>
      <c r="E167" s="21" t="s">
        <v>336</v>
      </c>
      <c r="F167" s="21" t="s">
        <v>256</v>
      </c>
      <c r="G167" s="24">
        <v>2</v>
      </c>
      <c r="H167" s="25">
        <v>3</v>
      </c>
      <c r="I167" s="21" t="s">
        <v>273</v>
      </c>
      <c r="J167" s="21" t="s">
        <v>142</v>
      </c>
      <c r="K167" s="21" t="s">
        <v>777</v>
      </c>
    </row>
    <row r="168" spans="1:11" x14ac:dyDescent="0.25">
      <c r="A168" s="23" t="s">
        <v>517</v>
      </c>
      <c r="C168" s="21" t="s">
        <v>38</v>
      </c>
      <c r="D168" s="21" t="s">
        <v>256</v>
      </c>
      <c r="E168" s="21" t="s">
        <v>336</v>
      </c>
      <c r="F168" s="21" t="s">
        <v>256</v>
      </c>
      <c r="G168" s="24">
        <v>2</v>
      </c>
      <c r="H168" s="25">
        <v>3</v>
      </c>
      <c r="I168" s="21" t="s">
        <v>273</v>
      </c>
      <c r="J168" s="21" t="s">
        <v>143</v>
      </c>
      <c r="K168" s="21" t="s">
        <v>778</v>
      </c>
    </row>
    <row r="169" spans="1:11" x14ac:dyDescent="0.25">
      <c r="A169" s="23" t="s">
        <v>518</v>
      </c>
      <c r="B169" s="1" t="s">
        <v>661</v>
      </c>
      <c r="C169" s="21" t="s">
        <v>650</v>
      </c>
      <c r="D169" s="21" t="s">
        <v>256</v>
      </c>
      <c r="E169" s="21" t="s">
        <v>334</v>
      </c>
      <c r="F169" s="21" t="s">
        <v>256</v>
      </c>
      <c r="G169" s="24">
        <v>2</v>
      </c>
      <c r="H169" s="25">
        <v>5</v>
      </c>
      <c r="I169" s="21" t="s">
        <v>609</v>
      </c>
      <c r="J169" s="21" t="s">
        <v>711</v>
      </c>
      <c r="K169" s="21" t="s">
        <v>657</v>
      </c>
    </row>
    <row r="170" spans="1:11" x14ac:dyDescent="0.25">
      <c r="A170" s="23" t="s">
        <v>519</v>
      </c>
      <c r="C170" s="21" t="s">
        <v>39</v>
      </c>
      <c r="D170" s="21"/>
      <c r="E170" s="21" t="s">
        <v>336</v>
      </c>
      <c r="F170" s="21" t="s">
        <v>67</v>
      </c>
      <c r="G170" s="24">
        <v>1</v>
      </c>
      <c r="H170" s="25">
        <v>2</v>
      </c>
      <c r="I170" s="21" t="s">
        <v>273</v>
      </c>
      <c r="J170" s="21" t="s">
        <v>39</v>
      </c>
      <c r="K170" s="21" t="s">
        <v>289</v>
      </c>
    </row>
    <row r="171" spans="1:11" x14ac:dyDescent="0.25">
      <c r="A171" s="23" t="s">
        <v>520</v>
      </c>
      <c r="C171" s="21" t="s">
        <v>37</v>
      </c>
      <c r="D171" s="21" t="s">
        <v>59</v>
      </c>
      <c r="E171" s="21" t="s">
        <v>336</v>
      </c>
      <c r="F171" s="21" t="s">
        <v>59</v>
      </c>
      <c r="G171" s="24">
        <v>2</v>
      </c>
      <c r="H171" s="25">
        <v>2</v>
      </c>
      <c r="I171" s="21" t="s">
        <v>273</v>
      </c>
      <c r="J171" s="21" t="s">
        <v>144</v>
      </c>
      <c r="K171" s="21" t="s">
        <v>280</v>
      </c>
    </row>
    <row r="172" spans="1:11" x14ac:dyDescent="0.25">
      <c r="A172" s="23" t="s">
        <v>521</v>
      </c>
      <c r="C172" s="21" t="s">
        <v>40</v>
      </c>
      <c r="D172" s="21"/>
      <c r="E172" s="21" t="s">
        <v>336</v>
      </c>
      <c r="F172" s="21" t="s">
        <v>67</v>
      </c>
      <c r="G172" s="24">
        <v>1</v>
      </c>
      <c r="H172" s="25">
        <v>2</v>
      </c>
      <c r="I172" s="21" t="s">
        <v>273</v>
      </c>
      <c r="J172" s="21" t="s">
        <v>40</v>
      </c>
      <c r="K172" s="21" t="s">
        <v>290</v>
      </c>
    </row>
    <row r="173" spans="1:11" x14ac:dyDescent="0.25">
      <c r="A173" s="23" t="s">
        <v>522</v>
      </c>
      <c r="B173" s="1" t="s">
        <v>350</v>
      </c>
      <c r="C173" s="21" t="s">
        <v>53</v>
      </c>
      <c r="D173" s="21"/>
      <c r="E173" s="21" t="s">
        <v>335</v>
      </c>
      <c r="F173" s="21" t="s">
        <v>67</v>
      </c>
      <c r="G173" s="24">
        <v>1</v>
      </c>
      <c r="H173" s="25">
        <v>2</v>
      </c>
      <c r="I173" s="21" t="s">
        <v>265</v>
      </c>
      <c r="J173" s="21" t="s">
        <v>53</v>
      </c>
      <c r="K173" s="21" t="s">
        <v>286</v>
      </c>
    </row>
    <row r="174" spans="1:11" x14ac:dyDescent="0.25">
      <c r="A174" s="23" t="s">
        <v>523</v>
      </c>
      <c r="C174" s="21" t="s">
        <v>36</v>
      </c>
      <c r="D174" s="21" t="s">
        <v>60</v>
      </c>
      <c r="E174" s="21" t="s">
        <v>336</v>
      </c>
      <c r="F174" s="21" t="s">
        <v>60</v>
      </c>
      <c r="G174" s="24">
        <v>3</v>
      </c>
      <c r="H174" s="25">
        <v>4</v>
      </c>
      <c r="I174" s="21" t="s">
        <v>273</v>
      </c>
      <c r="J174" s="21" t="s">
        <v>145</v>
      </c>
      <c r="K174" s="21" t="s">
        <v>319</v>
      </c>
    </row>
    <row r="175" spans="1:11" x14ac:dyDescent="0.25">
      <c r="A175" s="23" t="s">
        <v>524</v>
      </c>
      <c r="C175" s="21" t="s">
        <v>37</v>
      </c>
      <c r="D175" s="21" t="s">
        <v>60</v>
      </c>
      <c r="E175" s="21" t="s">
        <v>336</v>
      </c>
      <c r="F175" s="21" t="s">
        <v>60</v>
      </c>
      <c r="G175" s="24">
        <v>3</v>
      </c>
      <c r="H175" s="25">
        <v>4</v>
      </c>
      <c r="I175" s="21" t="s">
        <v>273</v>
      </c>
      <c r="J175" s="21" t="s">
        <v>146</v>
      </c>
      <c r="K175" s="21" t="s">
        <v>315</v>
      </c>
    </row>
    <row r="176" spans="1:11" x14ac:dyDescent="0.25">
      <c r="A176" s="23" t="s">
        <v>525</v>
      </c>
      <c r="C176" s="21" t="s">
        <v>38</v>
      </c>
      <c r="D176" s="21" t="s">
        <v>60</v>
      </c>
      <c r="E176" s="21" t="s">
        <v>336</v>
      </c>
      <c r="F176" s="21" t="s">
        <v>60</v>
      </c>
      <c r="G176" s="24">
        <v>3</v>
      </c>
      <c r="H176" s="25">
        <v>4</v>
      </c>
      <c r="I176" s="21" t="s">
        <v>273</v>
      </c>
      <c r="J176" s="21" t="s">
        <v>147</v>
      </c>
      <c r="K176" s="21" t="s">
        <v>320</v>
      </c>
    </row>
    <row r="177" spans="1:11" x14ac:dyDescent="0.25">
      <c r="A177" s="23" t="s">
        <v>526</v>
      </c>
      <c r="B177" s="1" t="s">
        <v>661</v>
      </c>
      <c r="C177" s="21" t="s">
        <v>632</v>
      </c>
      <c r="D177" s="21" t="s">
        <v>621</v>
      </c>
      <c r="E177" s="21" t="s">
        <v>311</v>
      </c>
      <c r="F177" s="21" t="s">
        <v>620</v>
      </c>
      <c r="G177" s="24">
        <v>3</v>
      </c>
      <c r="H177" s="25" t="s">
        <v>295</v>
      </c>
      <c r="I177" s="21" t="s">
        <v>265</v>
      </c>
      <c r="J177" s="21" t="s">
        <v>712</v>
      </c>
      <c r="K177" s="21" t="s">
        <v>638</v>
      </c>
    </row>
    <row r="178" spans="1:11" x14ac:dyDescent="0.25">
      <c r="A178" s="23" t="s">
        <v>527</v>
      </c>
      <c r="C178" s="21" t="s">
        <v>41</v>
      </c>
      <c r="D178" s="21" t="s">
        <v>64</v>
      </c>
      <c r="E178" s="21" t="s">
        <v>311</v>
      </c>
      <c r="F178" s="21" t="s">
        <v>261</v>
      </c>
      <c r="G178" s="24">
        <v>2</v>
      </c>
      <c r="H178" s="25" t="s">
        <v>295</v>
      </c>
      <c r="I178" s="21" t="s">
        <v>265</v>
      </c>
      <c r="J178" s="21" t="s">
        <v>148</v>
      </c>
      <c r="K178" s="21" t="s">
        <v>307</v>
      </c>
    </row>
    <row r="179" spans="1:11" x14ac:dyDescent="0.25">
      <c r="A179" s="23" t="s">
        <v>528</v>
      </c>
      <c r="C179" s="21" t="s">
        <v>37</v>
      </c>
      <c r="D179" s="21" t="s">
        <v>252</v>
      </c>
      <c r="E179" s="21" t="s">
        <v>336</v>
      </c>
      <c r="F179" s="21" t="s">
        <v>253</v>
      </c>
      <c r="G179" s="24">
        <v>2</v>
      </c>
      <c r="H179" s="25">
        <v>5</v>
      </c>
      <c r="I179" s="21" t="s">
        <v>273</v>
      </c>
      <c r="J179" s="21" t="s">
        <v>149</v>
      </c>
      <c r="K179" s="21" t="s">
        <v>779</v>
      </c>
    </row>
    <row r="180" spans="1:11" x14ac:dyDescent="0.25">
      <c r="A180" s="23" t="s">
        <v>529</v>
      </c>
      <c r="C180" s="1" t="s">
        <v>37</v>
      </c>
      <c r="D180" s="1" t="s">
        <v>619</v>
      </c>
      <c r="E180" s="21" t="s">
        <v>336</v>
      </c>
      <c r="F180" s="21" t="s">
        <v>251</v>
      </c>
      <c r="G180" s="24">
        <v>2</v>
      </c>
      <c r="H180" s="25">
        <v>5</v>
      </c>
      <c r="I180" s="21" t="s">
        <v>273</v>
      </c>
      <c r="J180" s="21" t="s">
        <v>713</v>
      </c>
      <c r="K180" s="21" t="s">
        <v>820</v>
      </c>
    </row>
    <row r="181" spans="1:11" x14ac:dyDescent="0.25">
      <c r="A181" s="23" t="s">
        <v>530</v>
      </c>
      <c r="B181" s="1" t="s">
        <v>350</v>
      </c>
      <c r="C181" s="21" t="s">
        <v>53</v>
      </c>
      <c r="D181" s="21"/>
      <c r="E181" s="21" t="s">
        <v>335</v>
      </c>
      <c r="F181" s="21" t="s">
        <v>67</v>
      </c>
      <c r="G181" s="24">
        <v>1</v>
      </c>
      <c r="H181" s="25">
        <v>2</v>
      </c>
      <c r="I181" s="21" t="s">
        <v>265</v>
      </c>
      <c r="J181" s="21" t="s">
        <v>53</v>
      </c>
      <c r="K181" s="21" t="s">
        <v>286</v>
      </c>
    </row>
    <row r="182" spans="1:11" x14ac:dyDescent="0.25">
      <c r="A182" s="23" t="s">
        <v>531</v>
      </c>
      <c r="C182" s="21" t="s">
        <v>36</v>
      </c>
      <c r="D182" s="21" t="s">
        <v>258</v>
      </c>
      <c r="E182" s="21" t="s">
        <v>336</v>
      </c>
      <c r="F182" s="21" t="s">
        <v>259</v>
      </c>
      <c r="G182" s="24">
        <v>2</v>
      </c>
      <c r="H182" s="25">
        <v>4</v>
      </c>
      <c r="I182" s="21" t="s">
        <v>273</v>
      </c>
      <c r="J182" s="21" t="s">
        <v>150</v>
      </c>
      <c r="K182" s="21" t="s">
        <v>321</v>
      </c>
    </row>
    <row r="183" spans="1:11" x14ac:dyDescent="0.25">
      <c r="A183" s="23" t="s">
        <v>532</v>
      </c>
      <c r="C183" s="21" t="s">
        <v>37</v>
      </c>
      <c r="D183" s="21" t="s">
        <v>258</v>
      </c>
      <c r="E183" s="21" t="s">
        <v>336</v>
      </c>
      <c r="F183" s="21" t="s">
        <v>259</v>
      </c>
      <c r="G183" s="24">
        <v>2</v>
      </c>
      <c r="H183" s="25">
        <v>4</v>
      </c>
      <c r="I183" s="21" t="s">
        <v>273</v>
      </c>
      <c r="J183" s="21" t="s">
        <v>151</v>
      </c>
      <c r="K183" s="21" t="s">
        <v>316</v>
      </c>
    </row>
    <row r="184" spans="1:11" x14ac:dyDescent="0.25">
      <c r="A184" s="23" t="s">
        <v>533</v>
      </c>
      <c r="C184" s="21" t="s">
        <v>38</v>
      </c>
      <c r="D184" s="21" t="s">
        <v>260</v>
      </c>
      <c r="E184" s="21" t="s">
        <v>336</v>
      </c>
      <c r="F184" s="21" t="s">
        <v>259</v>
      </c>
      <c r="G184" s="24">
        <v>2</v>
      </c>
      <c r="H184" s="25">
        <v>4</v>
      </c>
      <c r="I184" s="21" t="s">
        <v>273</v>
      </c>
      <c r="J184" s="21" t="s">
        <v>152</v>
      </c>
      <c r="K184" s="21" t="s">
        <v>322</v>
      </c>
    </row>
    <row r="185" spans="1:11" x14ac:dyDescent="0.25">
      <c r="A185" s="23" t="s">
        <v>534</v>
      </c>
      <c r="B185" s="1" t="s">
        <v>661</v>
      </c>
      <c r="C185" s="21" t="s">
        <v>651</v>
      </c>
      <c r="D185" s="21" t="s">
        <v>256</v>
      </c>
      <c r="E185" s="21" t="s">
        <v>334</v>
      </c>
      <c r="F185" s="21" t="s">
        <v>256</v>
      </c>
      <c r="G185" s="24">
        <v>2</v>
      </c>
      <c r="H185" s="25">
        <v>5</v>
      </c>
      <c r="I185" s="21" t="s">
        <v>609</v>
      </c>
      <c r="J185" s="21" t="s">
        <v>714</v>
      </c>
      <c r="K185" s="21" t="s">
        <v>657</v>
      </c>
    </row>
    <row r="186" spans="1:11" x14ac:dyDescent="0.25">
      <c r="A186" s="23" t="s">
        <v>535</v>
      </c>
      <c r="C186" s="21" t="s">
        <v>42</v>
      </c>
      <c r="D186" s="21"/>
      <c r="E186" s="21" t="s">
        <v>335</v>
      </c>
      <c r="F186" s="21" t="s">
        <v>67</v>
      </c>
      <c r="G186" s="24">
        <v>1</v>
      </c>
      <c r="H186" s="25">
        <v>2</v>
      </c>
      <c r="I186" s="21" t="s">
        <v>270</v>
      </c>
      <c r="J186" s="21" t="s">
        <v>42</v>
      </c>
      <c r="K186" s="21" t="s">
        <v>292</v>
      </c>
    </row>
    <row r="187" spans="1:11" x14ac:dyDescent="0.25">
      <c r="A187" s="23" t="s">
        <v>536</v>
      </c>
      <c r="C187" s="21" t="s">
        <v>37</v>
      </c>
      <c r="D187" s="21" t="s">
        <v>66</v>
      </c>
      <c r="E187" s="21" t="s">
        <v>336</v>
      </c>
      <c r="F187" s="21" t="s">
        <v>257</v>
      </c>
      <c r="G187" s="24">
        <v>3</v>
      </c>
      <c r="H187" s="25">
        <v>4</v>
      </c>
      <c r="I187" s="21" t="s">
        <v>273</v>
      </c>
      <c r="J187" s="21" t="s">
        <v>153</v>
      </c>
      <c r="K187" s="21" t="s">
        <v>317</v>
      </c>
    </row>
    <row r="188" spans="1:11" x14ac:dyDescent="0.25">
      <c r="A188" s="23" t="s">
        <v>537</v>
      </c>
      <c r="C188" s="21" t="s">
        <v>43</v>
      </c>
      <c r="D188" s="21"/>
      <c r="E188" s="21" t="s">
        <v>337</v>
      </c>
      <c r="F188" s="21" t="s">
        <v>67</v>
      </c>
      <c r="G188" s="24">
        <v>1</v>
      </c>
      <c r="H188" s="25">
        <v>2</v>
      </c>
      <c r="I188" s="21" t="s">
        <v>273</v>
      </c>
      <c r="J188" s="21" t="s">
        <v>43</v>
      </c>
      <c r="K188" s="21" t="s">
        <v>293</v>
      </c>
    </row>
    <row r="189" spans="1:11" x14ac:dyDescent="0.25">
      <c r="A189" s="23" t="s">
        <v>538</v>
      </c>
      <c r="B189" s="1" t="s">
        <v>350</v>
      </c>
      <c r="C189" s="21" t="s">
        <v>53</v>
      </c>
      <c r="D189" s="21"/>
      <c r="E189" s="21" t="s">
        <v>335</v>
      </c>
      <c r="F189" s="21" t="s">
        <v>67</v>
      </c>
      <c r="G189" s="24">
        <v>1</v>
      </c>
      <c r="H189" s="25">
        <v>2</v>
      </c>
      <c r="I189" s="21" t="s">
        <v>265</v>
      </c>
      <c r="J189" s="21" t="s">
        <v>53</v>
      </c>
      <c r="K189" s="21" t="s">
        <v>286</v>
      </c>
    </row>
    <row r="190" spans="1:11" x14ac:dyDescent="0.25">
      <c r="A190" s="23" t="s">
        <v>539</v>
      </c>
      <c r="C190" s="21" t="s">
        <v>36</v>
      </c>
      <c r="D190" s="21" t="s">
        <v>65</v>
      </c>
      <c r="E190" s="21" t="s">
        <v>336</v>
      </c>
      <c r="F190" s="21" t="s">
        <v>257</v>
      </c>
      <c r="G190" s="24">
        <v>3</v>
      </c>
      <c r="H190" s="25">
        <v>4</v>
      </c>
      <c r="I190" s="21" t="s">
        <v>273</v>
      </c>
      <c r="J190" s="21" t="s">
        <v>154</v>
      </c>
      <c r="K190" s="21" t="s">
        <v>323</v>
      </c>
    </row>
    <row r="191" spans="1:11" x14ac:dyDescent="0.25">
      <c r="A191" s="23" t="s">
        <v>540</v>
      </c>
      <c r="C191" s="21" t="s">
        <v>37</v>
      </c>
      <c r="D191" s="21" t="s">
        <v>65</v>
      </c>
      <c r="E191" s="21" t="s">
        <v>336</v>
      </c>
      <c r="F191" s="21" t="s">
        <v>257</v>
      </c>
      <c r="G191" s="24">
        <v>3</v>
      </c>
      <c r="H191" s="25">
        <v>4</v>
      </c>
      <c r="I191" s="21" t="s">
        <v>273</v>
      </c>
      <c r="J191" s="21" t="s">
        <v>155</v>
      </c>
      <c r="K191" s="21" t="s">
        <v>318</v>
      </c>
    </row>
    <row r="192" spans="1:11" x14ac:dyDescent="0.25">
      <c r="A192" s="23" t="s">
        <v>541</v>
      </c>
      <c r="C192" s="21" t="s">
        <v>38</v>
      </c>
      <c r="D192" s="21" t="s">
        <v>66</v>
      </c>
      <c r="E192" s="21" t="s">
        <v>336</v>
      </c>
      <c r="F192" s="21" t="s">
        <v>257</v>
      </c>
      <c r="G192" s="24">
        <v>3</v>
      </c>
      <c r="H192" s="25">
        <v>4</v>
      </c>
      <c r="I192" s="21" t="s">
        <v>273</v>
      </c>
      <c r="J192" s="21" t="s">
        <v>156</v>
      </c>
      <c r="K192" s="21" t="s">
        <v>324</v>
      </c>
    </row>
    <row r="193" spans="1:11" x14ac:dyDescent="0.25">
      <c r="A193" s="23" t="s">
        <v>542</v>
      </c>
      <c r="B193" s="1" t="s">
        <v>661</v>
      </c>
      <c r="C193" s="21" t="s">
        <v>637</v>
      </c>
      <c r="D193" s="21" t="s">
        <v>621</v>
      </c>
      <c r="E193" s="21" t="s">
        <v>311</v>
      </c>
      <c r="F193" s="21" t="s">
        <v>620</v>
      </c>
      <c r="G193" s="24">
        <v>3</v>
      </c>
      <c r="H193" s="25" t="s">
        <v>295</v>
      </c>
      <c r="I193" s="21" t="s">
        <v>265</v>
      </c>
      <c r="J193" s="21" t="s">
        <v>715</v>
      </c>
      <c r="K193" s="21" t="s">
        <v>638</v>
      </c>
    </row>
    <row r="194" spans="1:11" x14ac:dyDescent="0.25">
      <c r="A194" s="23" t="s">
        <v>543</v>
      </c>
      <c r="C194" s="21" t="s">
        <v>44</v>
      </c>
      <c r="D194" s="21" t="s">
        <v>59</v>
      </c>
      <c r="E194" s="21" t="s">
        <v>333</v>
      </c>
      <c r="F194" s="21" t="s">
        <v>59</v>
      </c>
      <c r="G194" s="24">
        <v>2</v>
      </c>
      <c r="H194" s="25">
        <v>2</v>
      </c>
      <c r="I194" s="21" t="s">
        <v>275</v>
      </c>
      <c r="J194" s="21" t="s">
        <v>157</v>
      </c>
      <c r="K194" s="21" t="s">
        <v>297</v>
      </c>
    </row>
    <row r="195" spans="1:11" x14ac:dyDescent="0.25">
      <c r="A195" s="23" t="s">
        <v>544</v>
      </c>
      <c r="C195" s="21" t="s">
        <v>45</v>
      </c>
      <c r="D195" s="21" t="s">
        <v>255</v>
      </c>
      <c r="E195" s="21" t="s">
        <v>333</v>
      </c>
      <c r="F195" s="21" t="s">
        <v>254</v>
      </c>
      <c r="G195" s="24">
        <v>2</v>
      </c>
      <c r="H195" s="25">
        <v>6</v>
      </c>
      <c r="I195" s="21" t="s">
        <v>275</v>
      </c>
      <c r="J195" s="21" t="s">
        <v>158</v>
      </c>
      <c r="K195" s="21" t="s">
        <v>780</v>
      </c>
    </row>
    <row r="196" spans="1:11" x14ac:dyDescent="0.25">
      <c r="A196" s="23" t="s">
        <v>545</v>
      </c>
      <c r="B196" s="1" t="s">
        <v>350</v>
      </c>
      <c r="C196" s="21" t="s">
        <v>53</v>
      </c>
      <c r="D196" s="21"/>
      <c r="E196" s="21" t="s">
        <v>335</v>
      </c>
      <c r="F196" s="21" t="s">
        <v>67</v>
      </c>
      <c r="G196" s="24">
        <v>1</v>
      </c>
      <c r="H196" s="25">
        <v>2</v>
      </c>
      <c r="I196" s="21" t="s">
        <v>265</v>
      </c>
      <c r="J196" s="21" t="s">
        <v>53</v>
      </c>
      <c r="K196" s="21" t="s">
        <v>286</v>
      </c>
    </row>
    <row r="197" spans="1:11" x14ac:dyDescent="0.25">
      <c r="A197" s="23" t="s">
        <v>546</v>
      </c>
      <c r="B197" s="1" t="s">
        <v>350</v>
      </c>
      <c r="C197" s="21" t="s">
        <v>53</v>
      </c>
      <c r="D197" s="21"/>
      <c r="E197" s="21" t="s">
        <v>335</v>
      </c>
      <c r="F197" s="21" t="s">
        <v>67</v>
      </c>
      <c r="G197" s="24">
        <v>1</v>
      </c>
      <c r="H197" s="25">
        <v>2</v>
      </c>
      <c r="I197" s="21" t="s">
        <v>265</v>
      </c>
      <c r="J197" s="21" t="s">
        <v>53</v>
      </c>
      <c r="K197" s="21" t="s">
        <v>286</v>
      </c>
    </row>
    <row r="198" spans="1:11" x14ac:dyDescent="0.25">
      <c r="A198" s="23" t="s">
        <v>547</v>
      </c>
      <c r="C198" s="21" t="s">
        <v>44</v>
      </c>
      <c r="D198" s="21" t="s">
        <v>256</v>
      </c>
      <c r="E198" s="21" t="s">
        <v>333</v>
      </c>
      <c r="F198" s="21" t="s">
        <v>256</v>
      </c>
      <c r="G198" s="24">
        <v>3</v>
      </c>
      <c r="H198" s="25">
        <v>2</v>
      </c>
      <c r="I198" s="21" t="s">
        <v>275</v>
      </c>
      <c r="J198" s="21" t="s">
        <v>159</v>
      </c>
      <c r="K198" s="21" t="s">
        <v>781</v>
      </c>
    </row>
    <row r="199" spans="1:11" x14ac:dyDescent="0.25">
      <c r="A199" s="23" t="s">
        <v>548</v>
      </c>
      <c r="C199" s="21" t="s">
        <v>45</v>
      </c>
      <c r="D199" s="21" t="s">
        <v>256</v>
      </c>
      <c r="E199" s="21" t="s">
        <v>333</v>
      </c>
      <c r="F199" s="21" t="s">
        <v>256</v>
      </c>
      <c r="G199" s="24">
        <v>2</v>
      </c>
      <c r="H199" s="25">
        <v>3</v>
      </c>
      <c r="I199" s="21" t="s">
        <v>275</v>
      </c>
      <c r="J199" s="21" t="s">
        <v>160</v>
      </c>
      <c r="K199" s="21" t="s">
        <v>782</v>
      </c>
    </row>
    <row r="200" spans="1:11" x14ac:dyDescent="0.25">
      <c r="A200" s="23" t="s">
        <v>549</v>
      </c>
      <c r="C200" s="21" t="s">
        <v>14</v>
      </c>
      <c r="D200" s="21" t="s">
        <v>256</v>
      </c>
      <c r="E200" s="21" t="s">
        <v>333</v>
      </c>
      <c r="F200" s="21" t="s">
        <v>256</v>
      </c>
      <c r="G200" s="24">
        <v>2</v>
      </c>
      <c r="H200" s="25">
        <v>5</v>
      </c>
      <c r="I200" s="21" t="s">
        <v>273</v>
      </c>
      <c r="J200" s="21" t="s">
        <v>161</v>
      </c>
      <c r="K200" s="21" t="s">
        <v>783</v>
      </c>
    </row>
    <row r="201" spans="1:11" x14ac:dyDescent="0.25">
      <c r="A201" s="23" t="s">
        <v>550</v>
      </c>
      <c r="B201" s="1" t="s">
        <v>661</v>
      </c>
      <c r="C201" s="21" t="s">
        <v>652</v>
      </c>
      <c r="D201" s="21" t="s">
        <v>256</v>
      </c>
      <c r="E201" s="21" t="s">
        <v>334</v>
      </c>
      <c r="F201" s="21" t="s">
        <v>256</v>
      </c>
      <c r="G201" s="24">
        <v>2</v>
      </c>
      <c r="H201" s="25">
        <v>5</v>
      </c>
      <c r="I201" s="21" t="s">
        <v>609</v>
      </c>
      <c r="J201" s="21" t="s">
        <v>716</v>
      </c>
      <c r="K201" s="21" t="s">
        <v>657</v>
      </c>
    </row>
    <row r="202" spans="1:11" x14ac:dyDescent="0.25">
      <c r="A202" s="23" t="s">
        <v>551</v>
      </c>
      <c r="C202" s="21" t="s">
        <v>46</v>
      </c>
      <c r="D202" s="21"/>
      <c r="E202" s="21" t="s">
        <v>333</v>
      </c>
      <c r="F202" s="21" t="s">
        <v>67</v>
      </c>
      <c r="G202" s="24">
        <v>1</v>
      </c>
      <c r="H202" s="25">
        <v>2</v>
      </c>
      <c r="I202" s="21" t="s">
        <v>273</v>
      </c>
      <c r="J202" s="21" t="s">
        <v>46</v>
      </c>
      <c r="K202" s="21" t="s">
        <v>784</v>
      </c>
    </row>
    <row r="203" spans="1:11" x14ac:dyDescent="0.25">
      <c r="A203" s="23" t="s">
        <v>552</v>
      </c>
      <c r="C203" s="21" t="s">
        <v>45</v>
      </c>
      <c r="D203" s="21" t="s">
        <v>59</v>
      </c>
      <c r="E203" s="21" t="s">
        <v>333</v>
      </c>
      <c r="F203" s="21" t="s">
        <v>59</v>
      </c>
      <c r="G203" s="24">
        <v>2</v>
      </c>
      <c r="H203" s="25">
        <v>2</v>
      </c>
      <c r="I203" s="21" t="s">
        <v>275</v>
      </c>
      <c r="J203" s="21" t="s">
        <v>162</v>
      </c>
      <c r="K203" s="21" t="s">
        <v>298</v>
      </c>
    </row>
    <row r="204" spans="1:11" x14ac:dyDescent="0.25">
      <c r="A204" s="23" t="s">
        <v>553</v>
      </c>
      <c r="C204" s="21" t="s">
        <v>47</v>
      </c>
      <c r="D204" s="21"/>
      <c r="E204" s="21" t="s">
        <v>333</v>
      </c>
      <c r="F204" s="21" t="s">
        <v>67</v>
      </c>
      <c r="G204" s="24">
        <v>1</v>
      </c>
      <c r="H204" s="25">
        <v>2</v>
      </c>
      <c r="I204" s="21" t="s">
        <v>273</v>
      </c>
      <c r="J204" s="21" t="s">
        <v>47</v>
      </c>
      <c r="K204" s="21" t="s">
        <v>785</v>
      </c>
    </row>
    <row r="205" spans="1:11" x14ac:dyDescent="0.25">
      <c r="A205" s="23" t="s">
        <v>554</v>
      </c>
      <c r="C205" s="21" t="s">
        <v>613</v>
      </c>
      <c r="D205" s="21"/>
      <c r="E205" s="21" t="s">
        <v>335</v>
      </c>
      <c r="F205" s="21" t="s">
        <v>67</v>
      </c>
      <c r="G205" s="24">
        <v>1</v>
      </c>
      <c r="H205" s="25">
        <v>3</v>
      </c>
      <c r="I205" s="21" t="s">
        <v>265</v>
      </c>
      <c r="J205" s="21" t="s">
        <v>613</v>
      </c>
      <c r="K205" s="21" t="s">
        <v>669</v>
      </c>
    </row>
    <row r="206" spans="1:11" x14ac:dyDescent="0.25">
      <c r="A206" s="23" t="s">
        <v>555</v>
      </c>
      <c r="C206" s="21" t="s">
        <v>44</v>
      </c>
      <c r="D206" s="21" t="s">
        <v>60</v>
      </c>
      <c r="E206" s="21" t="s">
        <v>333</v>
      </c>
      <c r="F206" s="21" t="s">
        <v>60</v>
      </c>
      <c r="G206" s="24">
        <v>3</v>
      </c>
      <c r="H206" s="25">
        <v>4</v>
      </c>
      <c r="I206" s="21" t="s">
        <v>275</v>
      </c>
      <c r="J206" s="21" t="s">
        <v>163</v>
      </c>
      <c r="K206" s="21" t="s">
        <v>786</v>
      </c>
    </row>
    <row r="207" spans="1:11" x14ac:dyDescent="0.25">
      <c r="A207" s="23" t="s">
        <v>556</v>
      </c>
      <c r="C207" s="21" t="s">
        <v>45</v>
      </c>
      <c r="D207" s="21" t="s">
        <v>60</v>
      </c>
      <c r="E207" s="21" t="s">
        <v>333</v>
      </c>
      <c r="F207" s="21" t="s">
        <v>60</v>
      </c>
      <c r="G207" s="24">
        <v>3</v>
      </c>
      <c r="H207" s="25">
        <v>4</v>
      </c>
      <c r="I207" s="21" t="s">
        <v>275</v>
      </c>
      <c r="J207" s="21" t="s">
        <v>164</v>
      </c>
      <c r="K207" s="21" t="s">
        <v>787</v>
      </c>
    </row>
    <row r="208" spans="1:11" x14ac:dyDescent="0.25">
      <c r="A208" s="23" t="s">
        <v>557</v>
      </c>
      <c r="C208" s="21" t="s">
        <v>14</v>
      </c>
      <c r="D208" s="21" t="s">
        <v>60</v>
      </c>
      <c r="E208" s="21" t="s">
        <v>333</v>
      </c>
      <c r="F208" s="21" t="s">
        <v>60</v>
      </c>
      <c r="G208" s="24">
        <v>3</v>
      </c>
      <c r="H208" s="25">
        <v>6</v>
      </c>
      <c r="I208" s="21" t="s">
        <v>273</v>
      </c>
      <c r="J208" s="21" t="s">
        <v>165</v>
      </c>
      <c r="K208" s="21" t="s">
        <v>788</v>
      </c>
    </row>
    <row r="209" spans="1:11" x14ac:dyDescent="0.25">
      <c r="A209" s="23" t="s">
        <v>558</v>
      </c>
      <c r="B209" s="1" t="s">
        <v>661</v>
      </c>
      <c r="C209" s="21" t="s">
        <v>633</v>
      </c>
      <c r="D209" s="21" t="s">
        <v>621</v>
      </c>
      <c r="E209" s="21" t="s">
        <v>311</v>
      </c>
      <c r="F209" s="21" t="s">
        <v>620</v>
      </c>
      <c r="G209" s="24">
        <v>3</v>
      </c>
      <c r="H209" s="25" t="s">
        <v>295</v>
      </c>
      <c r="I209" s="21" t="s">
        <v>265</v>
      </c>
      <c r="J209" s="21" t="s">
        <v>717</v>
      </c>
      <c r="K209" s="21" t="s">
        <v>638</v>
      </c>
    </row>
    <row r="210" spans="1:11" x14ac:dyDescent="0.25">
      <c r="A210" s="23" t="s">
        <v>559</v>
      </c>
      <c r="C210" s="21" t="s">
        <v>48</v>
      </c>
      <c r="D210" s="21" t="s">
        <v>64</v>
      </c>
      <c r="E210" s="21" t="s">
        <v>311</v>
      </c>
      <c r="F210" s="21" t="s">
        <v>261</v>
      </c>
      <c r="G210" s="24">
        <v>2</v>
      </c>
      <c r="H210" s="25" t="s">
        <v>295</v>
      </c>
      <c r="I210" s="21" t="s">
        <v>265</v>
      </c>
      <c r="J210" s="21" t="s">
        <v>166</v>
      </c>
      <c r="K210" s="21" t="s">
        <v>309</v>
      </c>
    </row>
    <row r="211" spans="1:11" x14ac:dyDescent="0.25">
      <c r="A211" s="23" t="s">
        <v>560</v>
      </c>
      <c r="C211" s="21" t="s">
        <v>45</v>
      </c>
      <c r="D211" s="21" t="s">
        <v>252</v>
      </c>
      <c r="E211" s="21" t="s">
        <v>333</v>
      </c>
      <c r="F211" s="21" t="s">
        <v>253</v>
      </c>
      <c r="G211" s="24">
        <v>2</v>
      </c>
      <c r="H211" s="25">
        <v>5</v>
      </c>
      <c r="I211" s="21" t="s">
        <v>275</v>
      </c>
      <c r="J211" s="21" t="s">
        <v>167</v>
      </c>
      <c r="K211" s="21" t="s">
        <v>789</v>
      </c>
    </row>
    <row r="212" spans="1:11" x14ac:dyDescent="0.25">
      <c r="A212" s="23" t="s">
        <v>561</v>
      </c>
      <c r="C212" s="1" t="s">
        <v>45</v>
      </c>
      <c r="D212" s="1" t="s">
        <v>619</v>
      </c>
      <c r="E212" s="21" t="s">
        <v>333</v>
      </c>
      <c r="F212" s="21" t="s">
        <v>251</v>
      </c>
      <c r="G212" s="24">
        <v>2</v>
      </c>
      <c r="H212" s="25">
        <v>5</v>
      </c>
      <c r="I212" s="21" t="s">
        <v>275</v>
      </c>
      <c r="J212" s="21" t="s">
        <v>718</v>
      </c>
      <c r="K212" s="21" t="s">
        <v>790</v>
      </c>
    </row>
    <row r="213" spans="1:11" x14ac:dyDescent="0.25">
      <c r="A213" s="23" t="s">
        <v>562</v>
      </c>
      <c r="B213" s="1" t="s">
        <v>350</v>
      </c>
      <c r="C213" s="21" t="s">
        <v>53</v>
      </c>
      <c r="D213" s="21"/>
      <c r="E213" s="21" t="s">
        <v>335</v>
      </c>
      <c r="F213" s="21" t="s">
        <v>67</v>
      </c>
      <c r="G213" s="24">
        <v>1</v>
      </c>
      <c r="H213" s="25">
        <v>2</v>
      </c>
      <c r="I213" s="21" t="s">
        <v>265</v>
      </c>
      <c r="J213" s="21" t="s">
        <v>53</v>
      </c>
      <c r="K213" s="21" t="s">
        <v>286</v>
      </c>
    </row>
    <row r="214" spans="1:11" x14ac:dyDescent="0.25">
      <c r="A214" s="23" t="s">
        <v>563</v>
      </c>
      <c r="B214" s="1" t="s">
        <v>350</v>
      </c>
      <c r="C214" s="21" t="s">
        <v>53</v>
      </c>
      <c r="D214" s="21"/>
      <c r="E214" s="21" t="s">
        <v>335</v>
      </c>
      <c r="F214" s="21" t="s">
        <v>67</v>
      </c>
      <c r="G214" s="24">
        <v>1</v>
      </c>
      <c r="H214" s="25">
        <v>2</v>
      </c>
      <c r="I214" s="21" t="s">
        <v>265</v>
      </c>
      <c r="J214" s="21" t="s">
        <v>53</v>
      </c>
      <c r="K214" s="21" t="s">
        <v>286</v>
      </c>
    </row>
    <row r="215" spans="1:11" x14ac:dyDescent="0.25">
      <c r="A215" s="23" t="s">
        <v>564</v>
      </c>
      <c r="C215" s="21" t="s">
        <v>45</v>
      </c>
      <c r="D215" s="21" t="s">
        <v>258</v>
      </c>
      <c r="E215" s="21" t="s">
        <v>333</v>
      </c>
      <c r="F215" s="21" t="s">
        <v>259</v>
      </c>
      <c r="G215" s="24">
        <v>2</v>
      </c>
      <c r="H215" s="25">
        <v>4</v>
      </c>
      <c r="I215" s="21" t="s">
        <v>275</v>
      </c>
      <c r="J215" s="21" t="s">
        <v>168</v>
      </c>
      <c r="K215" s="21" t="s">
        <v>791</v>
      </c>
    </row>
    <row r="216" spans="1:11" x14ac:dyDescent="0.25">
      <c r="A216" s="23" t="s">
        <v>565</v>
      </c>
      <c r="C216" s="21" t="s">
        <v>14</v>
      </c>
      <c r="D216" s="21" t="s">
        <v>258</v>
      </c>
      <c r="E216" s="21" t="s">
        <v>333</v>
      </c>
      <c r="F216" s="21" t="s">
        <v>259</v>
      </c>
      <c r="G216" s="24">
        <v>2</v>
      </c>
      <c r="H216" s="25">
        <v>6</v>
      </c>
      <c r="I216" s="21" t="s">
        <v>273</v>
      </c>
      <c r="J216" s="21" t="s">
        <v>169</v>
      </c>
      <c r="K216" s="21" t="s">
        <v>792</v>
      </c>
    </row>
    <row r="217" spans="1:11" x14ac:dyDescent="0.25">
      <c r="A217" s="23" t="s">
        <v>566</v>
      </c>
      <c r="B217" s="1" t="s">
        <v>661</v>
      </c>
      <c r="C217" s="21" t="s">
        <v>653</v>
      </c>
      <c r="D217" s="21" t="s">
        <v>256</v>
      </c>
      <c r="E217" s="21" t="s">
        <v>334</v>
      </c>
      <c r="F217" s="21" t="s">
        <v>256</v>
      </c>
      <c r="G217" s="24">
        <v>2</v>
      </c>
      <c r="H217" s="25">
        <v>5</v>
      </c>
      <c r="I217" s="21" t="s">
        <v>609</v>
      </c>
      <c r="J217" s="21" t="s">
        <v>719</v>
      </c>
      <c r="K217" s="21" t="s">
        <v>657</v>
      </c>
    </row>
    <row r="218" spans="1:11" x14ac:dyDescent="0.25">
      <c r="A218" s="23" t="s">
        <v>567</v>
      </c>
      <c r="C218" s="21" t="s">
        <v>49</v>
      </c>
      <c r="D218" s="21"/>
      <c r="E218" s="21" t="s">
        <v>335</v>
      </c>
      <c r="F218" s="21" t="s">
        <v>67</v>
      </c>
      <c r="G218" s="24">
        <v>1</v>
      </c>
      <c r="H218" s="25">
        <v>2</v>
      </c>
      <c r="I218" s="21" t="s">
        <v>271</v>
      </c>
      <c r="J218" s="21" t="s">
        <v>49</v>
      </c>
      <c r="K218" s="21" t="s">
        <v>281</v>
      </c>
    </row>
    <row r="219" spans="1:11" x14ac:dyDescent="0.25">
      <c r="A219" s="23" t="s">
        <v>568</v>
      </c>
      <c r="C219" s="21" t="s">
        <v>45</v>
      </c>
      <c r="D219" s="21" t="s">
        <v>66</v>
      </c>
      <c r="E219" s="21" t="s">
        <v>333</v>
      </c>
      <c r="F219" s="21" t="s">
        <v>257</v>
      </c>
      <c r="G219" s="24">
        <v>3</v>
      </c>
      <c r="H219" s="25">
        <v>4</v>
      </c>
      <c r="I219" s="21" t="s">
        <v>275</v>
      </c>
      <c r="J219" s="21" t="s">
        <v>170</v>
      </c>
      <c r="K219" s="21" t="s">
        <v>793</v>
      </c>
    </row>
    <row r="220" spans="1:11" x14ac:dyDescent="0.25">
      <c r="A220" s="23" t="s">
        <v>569</v>
      </c>
      <c r="C220" s="21" t="s">
        <v>617</v>
      </c>
      <c r="D220" s="21"/>
      <c r="E220" s="21" t="s">
        <v>337</v>
      </c>
      <c r="F220" s="21" t="s">
        <v>67</v>
      </c>
      <c r="G220" s="24">
        <v>1</v>
      </c>
      <c r="H220" s="25">
        <v>3</v>
      </c>
      <c r="I220" s="21" t="s">
        <v>265</v>
      </c>
      <c r="J220" s="21" t="s">
        <v>617</v>
      </c>
      <c r="K220" s="21" t="s">
        <v>666</v>
      </c>
    </row>
    <row r="221" spans="1:11" x14ac:dyDescent="0.25">
      <c r="A221" s="23" t="s">
        <v>570</v>
      </c>
      <c r="C221" s="21" t="s">
        <v>614</v>
      </c>
      <c r="D221" s="21"/>
      <c r="E221" s="21" t="s">
        <v>335</v>
      </c>
      <c r="F221" s="21" t="s">
        <v>67</v>
      </c>
      <c r="G221" s="24">
        <v>1</v>
      </c>
      <c r="H221" s="25">
        <v>3</v>
      </c>
      <c r="I221" s="21" t="s">
        <v>265</v>
      </c>
      <c r="J221" s="21" t="s">
        <v>614</v>
      </c>
      <c r="K221" s="21" t="s">
        <v>668</v>
      </c>
    </row>
    <row r="222" spans="1:11" x14ac:dyDescent="0.25">
      <c r="A222" s="23" t="s">
        <v>571</v>
      </c>
      <c r="B222" s="1" t="s">
        <v>350</v>
      </c>
      <c r="C222" s="21" t="s">
        <v>53</v>
      </c>
      <c r="D222" s="21"/>
      <c r="E222" s="21" t="s">
        <v>335</v>
      </c>
      <c r="F222" s="21" t="s">
        <v>67</v>
      </c>
      <c r="G222" s="24">
        <v>1</v>
      </c>
      <c r="H222" s="25">
        <v>2</v>
      </c>
      <c r="I222" s="21" t="s">
        <v>265</v>
      </c>
      <c r="J222" s="21" t="s">
        <v>53</v>
      </c>
      <c r="K222" s="21" t="s">
        <v>286</v>
      </c>
    </row>
    <row r="223" spans="1:11" x14ac:dyDescent="0.25">
      <c r="A223" s="23" t="s">
        <v>572</v>
      </c>
      <c r="C223" s="21" t="s">
        <v>45</v>
      </c>
      <c r="D223" s="21" t="s">
        <v>65</v>
      </c>
      <c r="E223" s="21" t="s">
        <v>333</v>
      </c>
      <c r="F223" s="21" t="s">
        <v>257</v>
      </c>
      <c r="G223" s="24">
        <v>3</v>
      </c>
      <c r="H223" s="25">
        <v>4</v>
      </c>
      <c r="I223" s="21" t="s">
        <v>275</v>
      </c>
      <c r="J223" s="21" t="s">
        <v>171</v>
      </c>
      <c r="K223" s="21" t="s">
        <v>794</v>
      </c>
    </row>
    <row r="224" spans="1:11" x14ac:dyDescent="0.25">
      <c r="A224" s="23" t="s">
        <v>573</v>
      </c>
      <c r="C224" s="21" t="s">
        <v>14</v>
      </c>
      <c r="D224" s="21" t="s">
        <v>65</v>
      </c>
      <c r="E224" s="21" t="s">
        <v>333</v>
      </c>
      <c r="F224" s="21" t="s">
        <v>257</v>
      </c>
      <c r="G224" s="24">
        <v>3</v>
      </c>
      <c r="H224" s="25">
        <v>7</v>
      </c>
      <c r="I224" s="21" t="s">
        <v>273</v>
      </c>
      <c r="J224" s="21" t="s">
        <v>172</v>
      </c>
      <c r="K224" s="21" t="s">
        <v>795</v>
      </c>
    </row>
    <row r="225" spans="1:11" x14ac:dyDescent="0.25">
      <c r="A225" s="23" t="s">
        <v>574</v>
      </c>
      <c r="B225" s="1" t="s">
        <v>661</v>
      </c>
      <c r="C225" s="21" t="s">
        <v>634</v>
      </c>
      <c r="D225" s="21" t="s">
        <v>621</v>
      </c>
      <c r="E225" s="21" t="s">
        <v>311</v>
      </c>
      <c r="F225" s="21" t="s">
        <v>620</v>
      </c>
      <c r="G225" s="24">
        <v>3</v>
      </c>
      <c r="H225" s="25" t="s">
        <v>295</v>
      </c>
      <c r="I225" s="21" t="s">
        <v>265</v>
      </c>
      <c r="J225" s="21" t="s">
        <v>720</v>
      </c>
      <c r="K225" s="21" t="s">
        <v>638</v>
      </c>
    </row>
    <row r="226" spans="1:11" x14ac:dyDescent="0.25">
      <c r="A226" s="23" t="s">
        <v>575</v>
      </c>
      <c r="C226" s="21" t="s">
        <v>50</v>
      </c>
      <c r="D226" s="21" t="s">
        <v>59</v>
      </c>
      <c r="E226" s="21" t="s">
        <v>333</v>
      </c>
      <c r="F226" s="21" t="s">
        <v>59</v>
      </c>
      <c r="G226" s="24">
        <v>2</v>
      </c>
      <c r="H226" s="25">
        <v>2</v>
      </c>
      <c r="I226" s="21" t="s">
        <v>275</v>
      </c>
      <c r="J226" s="21" t="s">
        <v>173</v>
      </c>
      <c r="K226" s="21" t="s">
        <v>299</v>
      </c>
    </row>
    <row r="227" spans="1:11" x14ac:dyDescent="0.25">
      <c r="A227" s="23" t="s">
        <v>576</v>
      </c>
      <c r="C227" s="21" t="s">
        <v>51</v>
      </c>
      <c r="D227" s="21" t="s">
        <v>255</v>
      </c>
      <c r="E227" s="21" t="s">
        <v>333</v>
      </c>
      <c r="F227" s="21" t="s">
        <v>254</v>
      </c>
      <c r="G227" s="24">
        <v>2</v>
      </c>
      <c r="H227" s="25">
        <v>6</v>
      </c>
      <c r="I227" s="21" t="s">
        <v>274</v>
      </c>
      <c r="J227" s="21" t="s">
        <v>174</v>
      </c>
      <c r="K227" s="21" t="s">
        <v>796</v>
      </c>
    </row>
    <row r="228" spans="1:11" x14ac:dyDescent="0.25">
      <c r="A228" s="23" t="s">
        <v>577</v>
      </c>
      <c r="B228" s="1" t="s">
        <v>350</v>
      </c>
      <c r="C228" s="21" t="s">
        <v>53</v>
      </c>
      <c r="D228" s="21"/>
      <c r="E228" s="21" t="s">
        <v>335</v>
      </c>
      <c r="F228" s="21" t="s">
        <v>67</v>
      </c>
      <c r="G228" s="24">
        <v>1</v>
      </c>
      <c r="H228" s="25">
        <v>2</v>
      </c>
      <c r="I228" s="21" t="s">
        <v>265</v>
      </c>
      <c r="J228" s="21" t="s">
        <v>53</v>
      </c>
      <c r="K228" s="21" t="s">
        <v>286</v>
      </c>
    </row>
    <row r="229" spans="1:11" x14ac:dyDescent="0.25">
      <c r="A229" s="23" t="s">
        <v>578</v>
      </c>
      <c r="B229" s="1" t="s">
        <v>350</v>
      </c>
      <c r="C229" s="21" t="s">
        <v>53</v>
      </c>
      <c r="D229" s="21"/>
      <c r="E229" s="21" t="s">
        <v>335</v>
      </c>
      <c r="F229" s="21" t="s">
        <v>67</v>
      </c>
      <c r="G229" s="24">
        <v>1</v>
      </c>
      <c r="H229" s="25">
        <v>2</v>
      </c>
      <c r="I229" s="21" t="s">
        <v>265</v>
      </c>
      <c r="J229" s="21" t="s">
        <v>53</v>
      </c>
      <c r="K229" s="21" t="s">
        <v>286</v>
      </c>
    </row>
    <row r="230" spans="1:11" x14ac:dyDescent="0.25">
      <c r="A230" s="23" t="s">
        <v>579</v>
      </c>
      <c r="C230" s="21" t="s">
        <v>50</v>
      </c>
      <c r="D230" s="21" t="s">
        <v>256</v>
      </c>
      <c r="E230" s="21" t="s">
        <v>333</v>
      </c>
      <c r="F230" s="21" t="s">
        <v>256</v>
      </c>
      <c r="G230" s="24">
        <v>2</v>
      </c>
      <c r="H230" s="25">
        <v>3</v>
      </c>
      <c r="I230" s="21" t="s">
        <v>275</v>
      </c>
      <c r="J230" s="21" t="s">
        <v>175</v>
      </c>
      <c r="K230" s="21" t="s">
        <v>797</v>
      </c>
    </row>
    <row r="231" spans="1:11" x14ac:dyDescent="0.25">
      <c r="A231" s="23" t="s">
        <v>580</v>
      </c>
      <c r="C231" s="21" t="s">
        <v>51</v>
      </c>
      <c r="D231" s="21" t="s">
        <v>256</v>
      </c>
      <c r="E231" s="21" t="s">
        <v>333</v>
      </c>
      <c r="F231" s="21" t="s">
        <v>256</v>
      </c>
      <c r="G231" s="24">
        <v>2</v>
      </c>
      <c r="H231" s="25">
        <v>3</v>
      </c>
      <c r="I231" s="21" t="s">
        <v>274</v>
      </c>
      <c r="J231" s="21" t="s">
        <v>176</v>
      </c>
      <c r="K231" s="21" t="s">
        <v>798</v>
      </c>
    </row>
    <row r="232" spans="1:11" x14ac:dyDescent="0.25">
      <c r="A232" s="23" t="s">
        <v>581</v>
      </c>
      <c r="C232" s="21" t="s">
        <v>6</v>
      </c>
      <c r="D232" s="21" t="s">
        <v>256</v>
      </c>
      <c r="E232" s="21" t="s">
        <v>333</v>
      </c>
      <c r="F232" s="21" t="s">
        <v>256</v>
      </c>
      <c r="G232" s="24">
        <v>2</v>
      </c>
      <c r="H232" s="25">
        <v>5</v>
      </c>
      <c r="I232" s="21" t="s">
        <v>273</v>
      </c>
      <c r="J232" s="21" t="s">
        <v>177</v>
      </c>
      <c r="K232" s="21" t="s">
        <v>799</v>
      </c>
    </row>
    <row r="233" spans="1:11" x14ac:dyDescent="0.25">
      <c r="A233" s="23" t="s">
        <v>582</v>
      </c>
      <c r="B233" s="1" t="s">
        <v>661</v>
      </c>
      <c r="C233" s="21" t="s">
        <v>654</v>
      </c>
      <c r="D233" s="21" t="s">
        <v>256</v>
      </c>
      <c r="E233" s="21" t="s">
        <v>334</v>
      </c>
      <c r="F233" s="21" t="s">
        <v>256</v>
      </c>
      <c r="G233" s="24">
        <v>2</v>
      </c>
      <c r="H233" s="25">
        <v>5</v>
      </c>
      <c r="I233" s="21" t="s">
        <v>609</v>
      </c>
      <c r="J233" s="21" t="s">
        <v>721</v>
      </c>
      <c r="K233" s="21" t="s">
        <v>657</v>
      </c>
    </row>
    <row r="234" spans="1:11" x14ac:dyDescent="0.25">
      <c r="A234" s="23" t="s">
        <v>583</v>
      </c>
      <c r="C234" s="21" t="s">
        <v>52</v>
      </c>
      <c r="D234" s="21"/>
      <c r="E234" s="21" t="s">
        <v>333</v>
      </c>
      <c r="F234" s="21" t="s">
        <v>67</v>
      </c>
      <c r="G234" s="24">
        <v>1</v>
      </c>
      <c r="H234" s="25">
        <v>2</v>
      </c>
      <c r="I234" s="21" t="s">
        <v>273</v>
      </c>
      <c r="J234" s="21" t="s">
        <v>52</v>
      </c>
      <c r="K234" s="21" t="s">
        <v>800</v>
      </c>
    </row>
    <row r="235" spans="1:11" x14ac:dyDescent="0.25">
      <c r="A235" s="23" t="s">
        <v>584</v>
      </c>
      <c r="C235" s="21" t="s">
        <v>51</v>
      </c>
      <c r="D235" s="21" t="s">
        <v>59</v>
      </c>
      <c r="E235" s="21" t="s">
        <v>333</v>
      </c>
      <c r="F235" s="21" t="s">
        <v>59</v>
      </c>
      <c r="G235" s="24">
        <v>2</v>
      </c>
      <c r="H235" s="25">
        <v>2</v>
      </c>
      <c r="I235" s="21" t="s">
        <v>274</v>
      </c>
      <c r="J235" s="21" t="s">
        <v>178</v>
      </c>
      <c r="K235" s="21" t="s">
        <v>801</v>
      </c>
    </row>
    <row r="236" spans="1:11" x14ac:dyDescent="0.25">
      <c r="A236" s="23" t="s">
        <v>585</v>
      </c>
      <c r="C236" s="21" t="s">
        <v>53</v>
      </c>
      <c r="D236" s="21"/>
      <c r="E236" s="21" t="s">
        <v>335</v>
      </c>
      <c r="F236" s="21" t="s">
        <v>67</v>
      </c>
      <c r="G236" s="24">
        <v>1</v>
      </c>
      <c r="H236" s="25">
        <v>2</v>
      </c>
      <c r="I236" s="21" t="s">
        <v>265</v>
      </c>
      <c r="J236" s="21" t="s">
        <v>53</v>
      </c>
      <c r="K236" s="21" t="s">
        <v>286</v>
      </c>
    </row>
    <row r="237" spans="1:11" x14ac:dyDescent="0.25">
      <c r="A237" s="23" t="s">
        <v>586</v>
      </c>
      <c r="B237" s="1" t="s">
        <v>350</v>
      </c>
      <c r="C237" s="21" t="s">
        <v>53</v>
      </c>
      <c r="D237" s="21"/>
      <c r="E237" s="21" t="s">
        <v>335</v>
      </c>
      <c r="F237" s="21" t="s">
        <v>67</v>
      </c>
      <c r="G237" s="24">
        <v>1</v>
      </c>
      <c r="H237" s="25">
        <v>2</v>
      </c>
      <c r="I237" s="21" t="s">
        <v>265</v>
      </c>
      <c r="J237" s="21" t="s">
        <v>53</v>
      </c>
      <c r="K237" s="21" t="s">
        <v>286</v>
      </c>
    </row>
    <row r="238" spans="1:11" x14ac:dyDescent="0.25">
      <c r="A238" s="23" t="s">
        <v>587</v>
      </c>
      <c r="C238" s="21" t="s">
        <v>50</v>
      </c>
      <c r="D238" s="21" t="s">
        <v>60</v>
      </c>
      <c r="E238" s="21" t="s">
        <v>333</v>
      </c>
      <c r="F238" s="21" t="s">
        <v>60</v>
      </c>
      <c r="G238" s="24">
        <v>3</v>
      </c>
      <c r="H238" s="25">
        <v>4</v>
      </c>
      <c r="I238" s="21" t="s">
        <v>275</v>
      </c>
      <c r="J238" s="21" t="s">
        <v>179</v>
      </c>
      <c r="K238" s="21" t="s">
        <v>802</v>
      </c>
    </row>
    <row r="239" spans="1:11" x14ac:dyDescent="0.25">
      <c r="A239" s="23" t="s">
        <v>588</v>
      </c>
      <c r="C239" s="21" t="s">
        <v>51</v>
      </c>
      <c r="D239" s="21" t="s">
        <v>60</v>
      </c>
      <c r="E239" s="21" t="s">
        <v>333</v>
      </c>
      <c r="F239" s="21" t="s">
        <v>60</v>
      </c>
      <c r="G239" s="24">
        <v>3</v>
      </c>
      <c r="H239" s="25">
        <v>4</v>
      </c>
      <c r="I239" s="21" t="s">
        <v>274</v>
      </c>
      <c r="J239" s="21" t="s">
        <v>180</v>
      </c>
      <c r="K239" s="21" t="s">
        <v>803</v>
      </c>
    </row>
    <row r="240" spans="1:11" x14ac:dyDescent="0.25">
      <c r="A240" s="23" t="s">
        <v>589</v>
      </c>
      <c r="C240" s="21" t="s">
        <v>6</v>
      </c>
      <c r="D240" s="21" t="s">
        <v>60</v>
      </c>
      <c r="E240" s="21" t="s">
        <v>333</v>
      </c>
      <c r="F240" s="21" t="s">
        <v>60</v>
      </c>
      <c r="G240" s="24">
        <v>3</v>
      </c>
      <c r="H240" s="25">
        <v>6</v>
      </c>
      <c r="I240" s="21" t="s">
        <v>273</v>
      </c>
      <c r="J240" s="21" t="s">
        <v>181</v>
      </c>
      <c r="K240" s="21" t="s">
        <v>804</v>
      </c>
    </row>
    <row r="241" spans="1:11" x14ac:dyDescent="0.25">
      <c r="A241" s="23" t="s">
        <v>590</v>
      </c>
      <c r="B241" s="1" t="s">
        <v>661</v>
      </c>
      <c r="C241" s="21" t="s">
        <v>635</v>
      </c>
      <c r="D241" s="21" t="s">
        <v>621</v>
      </c>
      <c r="E241" s="21" t="s">
        <v>311</v>
      </c>
      <c r="F241" s="21" t="s">
        <v>620</v>
      </c>
      <c r="G241" s="24">
        <v>3</v>
      </c>
      <c r="H241" s="25" t="s">
        <v>295</v>
      </c>
      <c r="I241" s="21" t="s">
        <v>265</v>
      </c>
      <c r="J241" s="21" t="s">
        <v>722</v>
      </c>
      <c r="K241" s="21" t="s">
        <v>638</v>
      </c>
    </row>
    <row r="242" spans="1:11" x14ac:dyDescent="0.25">
      <c r="A242" s="23" t="s">
        <v>591</v>
      </c>
      <c r="C242" s="21" t="s">
        <v>54</v>
      </c>
      <c r="D242" s="21" t="s">
        <v>64</v>
      </c>
      <c r="E242" s="21" t="s">
        <v>311</v>
      </c>
      <c r="F242" s="21" t="s">
        <v>261</v>
      </c>
      <c r="G242" s="24">
        <v>2</v>
      </c>
      <c r="H242" s="25" t="s">
        <v>295</v>
      </c>
      <c r="I242" s="21" t="s">
        <v>265</v>
      </c>
      <c r="J242" s="21" t="s">
        <v>182</v>
      </c>
      <c r="K242" s="21" t="s">
        <v>310</v>
      </c>
    </row>
    <row r="243" spans="1:11" x14ac:dyDescent="0.25">
      <c r="A243" s="23" t="s">
        <v>592</v>
      </c>
      <c r="C243" s="21" t="s">
        <v>51</v>
      </c>
      <c r="D243" s="21" t="s">
        <v>252</v>
      </c>
      <c r="E243" s="21" t="s">
        <v>333</v>
      </c>
      <c r="F243" s="21" t="s">
        <v>253</v>
      </c>
      <c r="G243" s="24">
        <v>2</v>
      </c>
      <c r="H243" s="25">
        <v>5</v>
      </c>
      <c r="I243" s="21" t="s">
        <v>274</v>
      </c>
      <c r="J243" s="21" t="s">
        <v>183</v>
      </c>
      <c r="K243" s="21" t="s">
        <v>805</v>
      </c>
    </row>
    <row r="244" spans="1:11" x14ac:dyDescent="0.25">
      <c r="A244" s="23" t="s">
        <v>593</v>
      </c>
      <c r="B244" s="1" t="s">
        <v>350</v>
      </c>
      <c r="C244" s="21" t="s">
        <v>53</v>
      </c>
      <c r="D244" s="21"/>
      <c r="E244" s="21" t="s">
        <v>335</v>
      </c>
      <c r="F244" s="21" t="s">
        <v>67</v>
      </c>
      <c r="G244" s="24">
        <v>1</v>
      </c>
      <c r="H244" s="25">
        <v>2</v>
      </c>
      <c r="I244" s="21" t="s">
        <v>265</v>
      </c>
      <c r="J244" s="21" t="s">
        <v>53</v>
      </c>
      <c r="K244" s="21" t="s">
        <v>286</v>
      </c>
    </row>
    <row r="245" spans="1:11" x14ac:dyDescent="0.25">
      <c r="A245" s="23" t="s">
        <v>594</v>
      </c>
      <c r="B245" s="1" t="s">
        <v>350</v>
      </c>
      <c r="C245" s="21" t="s">
        <v>53</v>
      </c>
      <c r="D245" s="21"/>
      <c r="E245" s="21" t="s">
        <v>335</v>
      </c>
      <c r="F245" s="21" t="s">
        <v>67</v>
      </c>
      <c r="G245" s="24">
        <v>1</v>
      </c>
      <c r="H245" s="25">
        <v>2</v>
      </c>
      <c r="I245" s="21" t="s">
        <v>265</v>
      </c>
      <c r="J245" s="21" t="s">
        <v>53</v>
      </c>
      <c r="K245" s="21" t="s">
        <v>286</v>
      </c>
    </row>
    <row r="246" spans="1:11" x14ac:dyDescent="0.25">
      <c r="A246" s="23" t="s">
        <v>595</v>
      </c>
      <c r="B246" s="1" t="s">
        <v>350</v>
      </c>
      <c r="C246" s="21" t="s">
        <v>53</v>
      </c>
      <c r="D246" s="21"/>
      <c r="E246" s="21" t="s">
        <v>335</v>
      </c>
      <c r="F246" s="21" t="s">
        <v>67</v>
      </c>
      <c r="G246" s="24">
        <v>1</v>
      </c>
      <c r="H246" s="25">
        <v>2</v>
      </c>
      <c r="I246" s="21" t="s">
        <v>265</v>
      </c>
      <c r="J246" s="21" t="s">
        <v>53</v>
      </c>
      <c r="K246" s="21" t="s">
        <v>286</v>
      </c>
    </row>
    <row r="247" spans="1:11" x14ac:dyDescent="0.25">
      <c r="A247" s="23" t="s">
        <v>596</v>
      </c>
      <c r="C247" s="21" t="s">
        <v>51</v>
      </c>
      <c r="D247" s="21" t="s">
        <v>258</v>
      </c>
      <c r="E247" s="21" t="s">
        <v>333</v>
      </c>
      <c r="F247" s="21" t="s">
        <v>259</v>
      </c>
      <c r="G247" s="24">
        <v>2</v>
      </c>
      <c r="H247" s="25">
        <v>4</v>
      </c>
      <c r="I247" s="21" t="s">
        <v>274</v>
      </c>
      <c r="J247" s="21" t="s">
        <v>184</v>
      </c>
      <c r="K247" s="21" t="s">
        <v>806</v>
      </c>
    </row>
    <row r="248" spans="1:11" x14ac:dyDescent="0.25">
      <c r="A248" s="23" t="s">
        <v>597</v>
      </c>
      <c r="C248" s="21" t="s">
        <v>6</v>
      </c>
      <c r="D248" s="21" t="s">
        <v>258</v>
      </c>
      <c r="E248" s="21" t="s">
        <v>333</v>
      </c>
      <c r="F248" s="21" t="s">
        <v>259</v>
      </c>
      <c r="G248" s="24">
        <v>2</v>
      </c>
      <c r="H248" s="25">
        <v>6</v>
      </c>
      <c r="I248" s="21" t="s">
        <v>273</v>
      </c>
      <c r="J248" s="21" t="s">
        <v>185</v>
      </c>
      <c r="K248" s="21" t="s">
        <v>807</v>
      </c>
    </row>
    <row r="249" spans="1:11" x14ac:dyDescent="0.25">
      <c r="A249" s="23" t="s">
        <v>598</v>
      </c>
      <c r="B249" s="1" t="s">
        <v>661</v>
      </c>
      <c r="C249" s="21" t="s">
        <v>655</v>
      </c>
      <c r="D249" s="21" t="s">
        <v>256</v>
      </c>
      <c r="E249" s="21" t="s">
        <v>334</v>
      </c>
      <c r="F249" s="21" t="s">
        <v>256</v>
      </c>
      <c r="G249" s="24">
        <v>2</v>
      </c>
      <c r="H249" s="25">
        <v>5</v>
      </c>
      <c r="I249" s="21" t="s">
        <v>609</v>
      </c>
      <c r="J249" s="21" t="s">
        <v>723</v>
      </c>
      <c r="K249" s="21" t="s">
        <v>657</v>
      </c>
    </row>
    <row r="250" spans="1:11" x14ac:dyDescent="0.25">
      <c r="A250" s="23" t="s">
        <v>599</v>
      </c>
      <c r="C250" s="21" t="s">
        <v>55</v>
      </c>
      <c r="D250" s="21"/>
      <c r="E250" s="21" t="s">
        <v>335</v>
      </c>
      <c r="F250" s="21" t="s">
        <v>67</v>
      </c>
      <c r="G250" s="24">
        <v>1</v>
      </c>
      <c r="H250" s="25">
        <v>2</v>
      </c>
      <c r="I250" s="21" t="s">
        <v>272</v>
      </c>
      <c r="J250" s="21" t="s">
        <v>55</v>
      </c>
      <c r="K250" s="21" t="s">
        <v>281</v>
      </c>
    </row>
    <row r="251" spans="1:11" x14ac:dyDescent="0.25">
      <c r="A251" s="23" t="s">
        <v>600</v>
      </c>
      <c r="C251" s="21" t="s">
        <v>51</v>
      </c>
      <c r="D251" s="21" t="s">
        <v>66</v>
      </c>
      <c r="E251" s="21" t="s">
        <v>333</v>
      </c>
      <c r="F251" s="21" t="s">
        <v>257</v>
      </c>
      <c r="G251" s="24">
        <v>3</v>
      </c>
      <c r="H251" s="25">
        <v>4</v>
      </c>
      <c r="I251" s="21" t="s">
        <v>274</v>
      </c>
      <c r="J251" s="21" t="s">
        <v>186</v>
      </c>
      <c r="K251" s="21" t="s">
        <v>808</v>
      </c>
    </row>
    <row r="252" spans="1:11" x14ac:dyDescent="0.25">
      <c r="A252" s="23" t="s">
        <v>601</v>
      </c>
      <c r="C252" s="21" t="s">
        <v>618</v>
      </c>
      <c r="D252" s="21"/>
      <c r="E252" s="21" t="s">
        <v>337</v>
      </c>
      <c r="F252" s="21" t="s">
        <v>67</v>
      </c>
      <c r="G252" s="24">
        <v>1</v>
      </c>
      <c r="H252" s="25">
        <v>4</v>
      </c>
      <c r="I252" s="21" t="s">
        <v>273</v>
      </c>
      <c r="J252" s="21" t="s">
        <v>618</v>
      </c>
      <c r="K252" s="21" t="s">
        <v>664</v>
      </c>
    </row>
    <row r="253" spans="1:11" x14ac:dyDescent="0.25">
      <c r="A253" s="23" t="s">
        <v>602</v>
      </c>
      <c r="B253" s="1" t="s">
        <v>350</v>
      </c>
      <c r="C253" s="21" t="s">
        <v>53</v>
      </c>
      <c r="D253" s="21"/>
      <c r="E253" s="21" t="s">
        <v>335</v>
      </c>
      <c r="F253" s="21" t="s">
        <v>67</v>
      </c>
      <c r="G253" s="24">
        <v>1</v>
      </c>
      <c r="H253" s="25">
        <v>2</v>
      </c>
      <c r="I253" s="21" t="s">
        <v>265</v>
      </c>
      <c r="J253" s="21" t="s">
        <v>53</v>
      </c>
      <c r="K253" s="21" t="s">
        <v>286</v>
      </c>
    </row>
    <row r="254" spans="1:11" x14ac:dyDescent="0.25">
      <c r="A254" s="23" t="s">
        <v>603</v>
      </c>
      <c r="C254" s="1" t="s">
        <v>51</v>
      </c>
      <c r="D254" s="1" t="s">
        <v>619</v>
      </c>
      <c r="E254" s="21" t="s">
        <v>333</v>
      </c>
      <c r="F254" s="21" t="s">
        <v>251</v>
      </c>
      <c r="G254" s="24">
        <v>2</v>
      </c>
      <c r="H254" s="25">
        <v>5</v>
      </c>
      <c r="I254" s="21" t="s">
        <v>274</v>
      </c>
      <c r="J254" s="21" t="s">
        <v>724</v>
      </c>
      <c r="K254" s="21" t="s">
        <v>803</v>
      </c>
    </row>
    <row r="255" spans="1:11" x14ac:dyDescent="0.25">
      <c r="A255" s="23" t="s">
        <v>604</v>
      </c>
      <c r="C255" s="21" t="s">
        <v>51</v>
      </c>
      <c r="D255" s="21" t="s">
        <v>65</v>
      </c>
      <c r="E255" s="21" t="s">
        <v>333</v>
      </c>
      <c r="F255" s="21" t="s">
        <v>257</v>
      </c>
      <c r="G255" s="24">
        <v>3</v>
      </c>
      <c r="H255" s="25">
        <v>4</v>
      </c>
      <c r="I255" s="21" t="s">
        <v>274</v>
      </c>
      <c r="J255" s="21" t="s">
        <v>187</v>
      </c>
      <c r="K255" s="21" t="s">
        <v>809</v>
      </c>
    </row>
    <row r="256" spans="1:11" x14ac:dyDescent="0.25">
      <c r="A256" s="23" t="s">
        <v>605</v>
      </c>
      <c r="C256" s="21" t="s">
        <v>6</v>
      </c>
      <c r="D256" s="21" t="s">
        <v>65</v>
      </c>
      <c r="E256" s="21" t="s">
        <v>333</v>
      </c>
      <c r="F256" s="21" t="s">
        <v>257</v>
      </c>
      <c r="G256" s="24">
        <v>3</v>
      </c>
      <c r="H256" s="25">
        <v>7</v>
      </c>
      <c r="I256" s="21" t="s">
        <v>273</v>
      </c>
      <c r="J256" s="21" t="s">
        <v>188</v>
      </c>
      <c r="K256" s="21" t="s">
        <v>810</v>
      </c>
    </row>
    <row r="257" spans="1:11" x14ac:dyDescent="0.25">
      <c r="A257" s="23" t="s">
        <v>606</v>
      </c>
      <c r="B257" s="1" t="s">
        <v>661</v>
      </c>
      <c r="C257" s="21" t="s">
        <v>636</v>
      </c>
      <c r="D257" s="21" t="s">
        <v>621</v>
      </c>
      <c r="E257" s="21" t="s">
        <v>311</v>
      </c>
      <c r="F257" s="21" t="s">
        <v>620</v>
      </c>
      <c r="G257" s="24">
        <v>3</v>
      </c>
      <c r="H257" s="25" t="s">
        <v>295</v>
      </c>
      <c r="I257" s="21" t="s">
        <v>265</v>
      </c>
      <c r="J257" s="21" t="s">
        <v>725</v>
      </c>
      <c r="K257" s="21" t="s">
        <v>638</v>
      </c>
    </row>
  </sheetData>
  <autoFilter ref="A1:K257" xr:uid="{F14C236D-CB89-4395-ADCE-634A33A1B655}">
    <sortState xmlns:xlrd2="http://schemas.microsoft.com/office/spreadsheetml/2017/richdata2" ref="A2:K257">
      <sortCondition ref="A2:A257"/>
      <sortCondition ref="C2:C257"/>
      <sortCondition ref="E2:E257"/>
      <sortCondition ref="F2:F257"/>
      <sortCondition ref="D2:D257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35"/>
  <sheetViews>
    <sheetView workbookViewId="0">
      <selection activeCell="I13" sqref="I13"/>
    </sheetView>
  </sheetViews>
  <sheetFormatPr defaultColWidth="3.85546875" defaultRowHeight="13.5" x14ac:dyDescent="0.25"/>
  <cols>
    <col min="1" max="1" width="2.140625" style="17" bestFit="1" customWidth="1"/>
    <col min="2" max="17" width="11" style="14" customWidth="1"/>
    <col min="18" max="16384" width="3.85546875" style="14"/>
  </cols>
  <sheetData>
    <row r="1" spans="1:17" s="17" customFormat="1" x14ac:dyDescent="0.25">
      <c r="A1" s="15" t="s">
        <v>204</v>
      </c>
      <c r="B1" s="16">
        <v>0</v>
      </c>
      <c r="C1" s="16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 t="s">
        <v>61</v>
      </c>
      <c r="M1" s="16" t="s">
        <v>62</v>
      </c>
      <c r="N1" s="16" t="s">
        <v>189</v>
      </c>
      <c r="O1" s="16" t="s">
        <v>190</v>
      </c>
      <c r="P1" s="16" t="s">
        <v>191</v>
      </c>
      <c r="Q1" s="16" t="s">
        <v>192</v>
      </c>
    </row>
    <row r="2" spans="1:17" ht="27" x14ac:dyDescent="0.25">
      <c r="A2" s="16">
        <v>0</v>
      </c>
      <c r="B2" s="14" t="str">
        <f>IF(INDEX(OpCode!$A$2:$J$257,HEX2DEC($A2)*16+HEX2DEC(B$1)+1,2)="",TRIM(INDEX(OpCode!$A$2:$J$257,HEX2DEC($A2)*16+HEX2DEC(B$1)+1,3)&amp;CHAR(10)&amp;INDEX(OpCode!$A$2:$J$257,HEX2DEC($A2)*16+HEX2DEC(B$1)+1,4))," ")</f>
        <v xml:space="preserve">BRK
</v>
      </c>
      <c r="C2" s="14" t="str">
        <f>IF(INDEX(OpCode!$A$2:$J$257,HEX2DEC($A2)*16+HEX2DEC(C$1)+1,2)="",TRIM(INDEX(OpCode!$A$2:$J$257,HEX2DEC($A2)*16+HEX2DEC(C$1)+1,3)&amp;CHAR(10)&amp;INDEX(OpCode!$A$2:$J$257,HEX2DEC($A2)*16+HEX2DEC(C$1)+1,4))," ")</f>
        <v>ORA
(dp,X)</v>
      </c>
      <c r="D2" s="14" t="str">
        <f>IF(INDEX(OpCode!$A$2:$J$257,HEX2DEC($A2)*16+HEX2DEC(D$1)+1,2)="",TRIM(INDEX(OpCode!$A$2:$J$257,HEX2DEC($A2)*16+HEX2DEC(D$1)+1,3)&amp;CHAR(10)&amp;INDEX(OpCode!$A$2:$J$257,HEX2DEC($A2)*16+HEX2DEC(D$1)+1,4))," ")</f>
        <v xml:space="preserve"> </v>
      </c>
      <c r="E2" s="14" t="str">
        <f>IF(INDEX(OpCode!$A$2:$J$257,HEX2DEC($A2)*16+HEX2DEC(E$1)+1,2)="",TRIM(INDEX(OpCode!$A$2:$J$257,HEX2DEC($A2)*16+HEX2DEC(E$1)+1,3)&amp;CHAR(10)&amp;INDEX(OpCode!$A$2:$J$257,HEX2DEC($A2)*16+HEX2DEC(E$1)+1,4))," ")</f>
        <v xml:space="preserve"> </v>
      </c>
      <c r="F2" s="14" t="str">
        <f>IF(INDEX(OpCode!$A$2:$J$257,HEX2DEC($A2)*16+HEX2DEC(F$1)+1,2)="",TRIM(INDEX(OpCode!$A$2:$J$257,HEX2DEC($A2)*16+HEX2DEC(F$1)+1,3)&amp;CHAR(10)&amp;INDEX(OpCode!$A$2:$J$257,HEX2DEC($A2)*16+HEX2DEC(F$1)+1,4))," ")</f>
        <v>TSB
dp</v>
      </c>
      <c r="G2" s="14" t="str">
        <f>IF(INDEX(OpCode!$A$2:$J$257,HEX2DEC($A2)*16+HEX2DEC(G$1)+1,2)="",TRIM(INDEX(OpCode!$A$2:$J$257,HEX2DEC($A2)*16+HEX2DEC(G$1)+1,3)&amp;CHAR(10)&amp;INDEX(OpCode!$A$2:$J$257,HEX2DEC($A2)*16+HEX2DEC(G$1)+1,4))," ")</f>
        <v>ORA
dp</v>
      </c>
      <c r="H2" s="14" t="str">
        <f>IF(INDEX(OpCode!$A$2:$J$257,HEX2DEC($A2)*16+HEX2DEC(H$1)+1,2)="",TRIM(INDEX(OpCode!$A$2:$J$257,HEX2DEC($A2)*16+HEX2DEC(H$1)+1,3)&amp;CHAR(10)&amp;INDEX(OpCode!$A$2:$J$257,HEX2DEC($A2)*16+HEX2DEC(H$1)+1,4))," ")</f>
        <v>ASL
dp</v>
      </c>
      <c r="I2" s="14" t="str">
        <f>IF(INDEX(OpCode!$A$2:$J$257,HEX2DEC($A2)*16+HEX2DEC(I$1)+1,2)="",TRIM(INDEX(OpCode!$A$2:$J$257,HEX2DEC($A2)*16+HEX2DEC(I$1)+1,3)&amp;CHAR(10)&amp;INDEX(OpCode!$A$2:$J$257,HEX2DEC($A2)*16+HEX2DEC(I$1)+1,4))," ")</f>
        <v xml:space="preserve"> </v>
      </c>
      <c r="J2" s="14" t="str">
        <f>IF(INDEX(OpCode!$A$2:$J$257,HEX2DEC($A2)*16+HEX2DEC(J$1)+1,2)="",TRIM(INDEX(OpCode!$A$2:$J$257,HEX2DEC($A2)*16+HEX2DEC(J$1)+1,3)&amp;CHAR(10)&amp;INDEX(OpCode!$A$2:$J$257,HEX2DEC($A2)*16+HEX2DEC(J$1)+1,4))," ")</f>
        <v xml:space="preserve">PHP
</v>
      </c>
      <c r="K2" s="14" t="str">
        <f>IF(INDEX(OpCode!$A$2:$J$257,HEX2DEC($A2)*16+HEX2DEC(K$1)+1,2)="",TRIM(INDEX(OpCode!$A$2:$J$257,HEX2DEC($A2)*16+HEX2DEC(K$1)+1,3)&amp;CHAR(10)&amp;INDEX(OpCode!$A$2:$J$257,HEX2DEC($A2)*16+HEX2DEC(K$1)+1,4))," ")</f>
        <v>ORA
imm</v>
      </c>
      <c r="L2" s="14" t="str">
        <f>IF(INDEX(OpCode!$A$2:$J$257,HEX2DEC($A2)*16+HEX2DEC(L$1)+1,2)="",TRIM(INDEX(OpCode!$A$2:$J$257,HEX2DEC($A2)*16+HEX2DEC(L$1)+1,3)&amp;CHAR(10)&amp;INDEX(OpCode!$A$2:$J$257,HEX2DEC($A2)*16+HEX2DEC(L$1)+1,4))," ")</f>
        <v>ASL
A</v>
      </c>
      <c r="M2" s="14" t="str">
        <f>IF(INDEX(OpCode!$A$2:$J$257,HEX2DEC($A2)*16+HEX2DEC(M$1)+1,2)="",TRIM(INDEX(OpCode!$A$2:$J$257,HEX2DEC($A2)*16+HEX2DEC(M$1)+1,3)&amp;CHAR(10)&amp;INDEX(OpCode!$A$2:$J$257,HEX2DEC($A2)*16+HEX2DEC(M$1)+1,4))," ")</f>
        <v xml:space="preserve"> </v>
      </c>
      <c r="N2" s="14" t="str">
        <f>IF(INDEX(OpCode!$A$2:$J$257,HEX2DEC($A2)*16+HEX2DEC(N$1)+1,2)="",TRIM(INDEX(OpCode!$A$2:$J$257,HEX2DEC($A2)*16+HEX2DEC(N$1)+1,3)&amp;CHAR(10)&amp;INDEX(OpCode!$A$2:$J$257,HEX2DEC($A2)*16+HEX2DEC(N$1)+1,4))," ")</f>
        <v>TSB
abs</v>
      </c>
      <c r="O2" s="14" t="str">
        <f>IF(INDEX(OpCode!$A$2:$J$257,HEX2DEC($A2)*16+HEX2DEC(O$1)+1,2)="",TRIM(INDEX(OpCode!$A$2:$J$257,HEX2DEC($A2)*16+HEX2DEC(O$1)+1,3)&amp;CHAR(10)&amp;INDEX(OpCode!$A$2:$J$257,HEX2DEC($A2)*16+HEX2DEC(O$1)+1,4))," ")</f>
        <v>ORA
abs</v>
      </c>
      <c r="P2" s="14" t="str">
        <f>IF(INDEX(OpCode!$A$2:$J$257,HEX2DEC($A2)*16+HEX2DEC(P$1)+1,2)="",TRIM(INDEX(OpCode!$A$2:$J$257,HEX2DEC($A2)*16+HEX2DEC(P$1)+1,3)&amp;CHAR(10)&amp;INDEX(OpCode!$A$2:$J$257,HEX2DEC($A2)*16+HEX2DEC(P$1)+1,4))," ")</f>
        <v>ASL
abs</v>
      </c>
      <c r="Q2" s="14" t="str">
        <f>IF(INDEX(OpCode!$A$2:$J$257,HEX2DEC($A2)*16+HEX2DEC(Q$1)+1,2)="",TRIM(INDEX(OpCode!$A$2:$J$257,HEX2DEC($A2)*16+HEX2DEC(Q$1)+1,3)&amp;CHAR(10)&amp;INDEX(OpCode!$A$2:$J$257,HEX2DEC($A2)*16+HEX2DEC(Q$1)+1,4))," ")</f>
        <v xml:space="preserve"> </v>
      </c>
    </row>
    <row r="3" spans="1:17" ht="27" x14ac:dyDescent="0.25">
      <c r="A3" s="16">
        <v>1</v>
      </c>
      <c r="B3" s="14" t="str">
        <f>IF(INDEX(OpCode!$A$2:$J$257,HEX2DEC($A3)*16+HEX2DEC(B$1)+1,2)="",TRIM(INDEX(OpCode!$A$2:$J$257,HEX2DEC($A3)*16+HEX2DEC(B$1)+1,3)&amp;CHAR(10)&amp;INDEX(OpCode!$A$2:$J$257,HEX2DEC($A3)*16+HEX2DEC(B$1)+1,4))," ")</f>
        <v>BPL
rel8</v>
      </c>
      <c r="C3" s="14" t="str">
        <f>IF(INDEX(OpCode!$A$2:$J$257,HEX2DEC($A3)*16+HEX2DEC(C$1)+1,2)="",TRIM(INDEX(OpCode!$A$2:$J$257,HEX2DEC($A3)*16+HEX2DEC(C$1)+1,3)&amp;CHAR(10)&amp;INDEX(OpCode!$A$2:$J$257,HEX2DEC($A3)*16+HEX2DEC(C$1)+1,4))," ")</f>
        <v>ORA
(dp),Y</v>
      </c>
      <c r="D3" s="14" t="str">
        <f>IF(INDEX(OpCode!$A$2:$J$257,HEX2DEC($A3)*16+HEX2DEC(D$1)+1,2)="",TRIM(INDEX(OpCode!$A$2:$J$257,HEX2DEC($A3)*16+HEX2DEC(D$1)+1,3)&amp;CHAR(10)&amp;INDEX(OpCode!$A$2:$J$257,HEX2DEC($A3)*16+HEX2DEC(D$1)+1,4))," ")</f>
        <v>ORA
(dp)</v>
      </c>
      <c r="E3" s="14" t="str">
        <f>IF(INDEX(OpCode!$A$2:$J$257,HEX2DEC($A3)*16+HEX2DEC(E$1)+1,2)="",TRIM(INDEX(OpCode!$A$2:$J$257,HEX2DEC($A3)*16+HEX2DEC(E$1)+1,3)&amp;CHAR(10)&amp;INDEX(OpCode!$A$2:$J$257,HEX2DEC($A3)*16+HEX2DEC(E$1)+1,4))," ")</f>
        <v xml:space="preserve"> </v>
      </c>
      <c r="F3" s="14" t="str">
        <f>IF(INDEX(OpCode!$A$2:$J$257,HEX2DEC($A3)*16+HEX2DEC(F$1)+1,2)="",TRIM(INDEX(OpCode!$A$2:$J$257,HEX2DEC($A3)*16+HEX2DEC(F$1)+1,3)&amp;CHAR(10)&amp;INDEX(OpCode!$A$2:$J$257,HEX2DEC($A3)*16+HEX2DEC(F$1)+1,4))," ")</f>
        <v>TRB
dp</v>
      </c>
      <c r="G3" s="14" t="str">
        <f>IF(INDEX(OpCode!$A$2:$J$257,HEX2DEC($A3)*16+HEX2DEC(G$1)+1,2)="",TRIM(INDEX(OpCode!$A$2:$J$257,HEX2DEC($A3)*16+HEX2DEC(G$1)+1,3)&amp;CHAR(10)&amp;INDEX(OpCode!$A$2:$J$257,HEX2DEC($A3)*16+HEX2DEC(G$1)+1,4))," ")</f>
        <v>ORA
dp,X</v>
      </c>
      <c r="H3" s="14" t="str">
        <f>IF(INDEX(OpCode!$A$2:$J$257,HEX2DEC($A3)*16+HEX2DEC(H$1)+1,2)="",TRIM(INDEX(OpCode!$A$2:$J$257,HEX2DEC($A3)*16+HEX2DEC(H$1)+1,3)&amp;CHAR(10)&amp;INDEX(OpCode!$A$2:$J$257,HEX2DEC($A3)*16+HEX2DEC(H$1)+1,4))," ")</f>
        <v>ASL
dp,X</v>
      </c>
      <c r="I3" s="14" t="str">
        <f>IF(INDEX(OpCode!$A$2:$J$257,HEX2DEC($A3)*16+HEX2DEC(I$1)+1,2)="",TRIM(INDEX(OpCode!$A$2:$J$257,HEX2DEC($A3)*16+HEX2DEC(I$1)+1,3)&amp;CHAR(10)&amp;INDEX(OpCode!$A$2:$J$257,HEX2DEC($A3)*16+HEX2DEC(I$1)+1,4))," ")</f>
        <v xml:space="preserve"> </v>
      </c>
      <c r="J3" s="14" t="str">
        <f>IF(INDEX(OpCode!$A$2:$J$257,HEX2DEC($A3)*16+HEX2DEC(J$1)+1,2)="",TRIM(INDEX(OpCode!$A$2:$J$257,HEX2DEC($A3)*16+HEX2DEC(J$1)+1,3)&amp;CHAR(10)&amp;INDEX(OpCode!$A$2:$J$257,HEX2DEC($A3)*16+HEX2DEC(J$1)+1,4))," ")</f>
        <v xml:space="preserve">CLC
</v>
      </c>
      <c r="K3" s="14" t="str">
        <f>IF(INDEX(OpCode!$A$2:$J$257,HEX2DEC($A3)*16+HEX2DEC(K$1)+1,2)="",TRIM(INDEX(OpCode!$A$2:$J$257,HEX2DEC($A3)*16+HEX2DEC(K$1)+1,3)&amp;CHAR(10)&amp;INDEX(OpCode!$A$2:$J$257,HEX2DEC($A3)*16+HEX2DEC(K$1)+1,4))," ")</f>
        <v>ORA
abs,Y</v>
      </c>
      <c r="L3" s="14" t="str">
        <f>IF(INDEX(OpCode!$A$2:$J$257,HEX2DEC($A3)*16+HEX2DEC(L$1)+1,2)="",TRIM(INDEX(OpCode!$A$2:$J$257,HEX2DEC($A3)*16+HEX2DEC(L$1)+1,3)&amp;CHAR(10)&amp;INDEX(OpCode!$A$2:$J$257,HEX2DEC($A3)*16+HEX2DEC(L$1)+1,4))," ")</f>
        <v>INC
A</v>
      </c>
      <c r="M3" s="14" t="str">
        <f>IF(INDEX(OpCode!$A$2:$J$257,HEX2DEC($A3)*16+HEX2DEC(M$1)+1,2)="",TRIM(INDEX(OpCode!$A$2:$J$257,HEX2DEC($A3)*16+HEX2DEC(M$1)+1,3)&amp;CHAR(10)&amp;INDEX(OpCode!$A$2:$J$257,HEX2DEC($A3)*16+HEX2DEC(M$1)+1,4))," ")</f>
        <v xml:space="preserve"> </v>
      </c>
      <c r="N3" s="14" t="str">
        <f>IF(INDEX(OpCode!$A$2:$J$257,HEX2DEC($A3)*16+HEX2DEC(N$1)+1,2)="",TRIM(INDEX(OpCode!$A$2:$J$257,HEX2DEC($A3)*16+HEX2DEC(N$1)+1,3)&amp;CHAR(10)&amp;INDEX(OpCode!$A$2:$J$257,HEX2DEC($A3)*16+HEX2DEC(N$1)+1,4))," ")</f>
        <v>TRB
abs</v>
      </c>
      <c r="O3" s="14" t="str">
        <f>IF(INDEX(OpCode!$A$2:$J$257,HEX2DEC($A3)*16+HEX2DEC(O$1)+1,2)="",TRIM(INDEX(OpCode!$A$2:$J$257,HEX2DEC($A3)*16+HEX2DEC(O$1)+1,3)&amp;CHAR(10)&amp;INDEX(OpCode!$A$2:$J$257,HEX2DEC($A3)*16+HEX2DEC(O$1)+1,4))," ")</f>
        <v>ORA
abs,X</v>
      </c>
      <c r="P3" s="14" t="str">
        <f>IF(INDEX(OpCode!$A$2:$J$257,HEX2DEC($A3)*16+HEX2DEC(P$1)+1,2)="",TRIM(INDEX(OpCode!$A$2:$J$257,HEX2DEC($A3)*16+HEX2DEC(P$1)+1,3)&amp;CHAR(10)&amp;INDEX(OpCode!$A$2:$J$257,HEX2DEC($A3)*16+HEX2DEC(P$1)+1,4))," ")</f>
        <v>ASL
abs,X</v>
      </c>
      <c r="Q3" s="14" t="str">
        <f>IF(INDEX(OpCode!$A$2:$J$257,HEX2DEC($A3)*16+HEX2DEC(Q$1)+1,2)="",TRIM(INDEX(OpCode!$A$2:$J$257,HEX2DEC($A3)*16+HEX2DEC(Q$1)+1,3)&amp;CHAR(10)&amp;INDEX(OpCode!$A$2:$J$257,HEX2DEC($A3)*16+HEX2DEC(Q$1)+1,4))," ")</f>
        <v xml:space="preserve"> </v>
      </c>
    </row>
    <row r="4" spans="1:17" ht="27" x14ac:dyDescent="0.25">
      <c r="A4" s="16">
        <v>2</v>
      </c>
      <c r="B4" s="14" t="str">
        <f>IF(INDEX(OpCode!$A$2:$J$257,HEX2DEC($A4)*16+HEX2DEC(B$1)+1,2)="",TRIM(INDEX(OpCode!$A$2:$J$257,HEX2DEC($A4)*16+HEX2DEC(B$1)+1,3)&amp;CHAR(10)&amp;INDEX(OpCode!$A$2:$J$257,HEX2DEC($A4)*16+HEX2DEC(B$1)+1,4))," ")</f>
        <v>JSR
abs</v>
      </c>
      <c r="C4" s="14" t="str">
        <f>IF(INDEX(OpCode!$A$2:$J$257,HEX2DEC($A4)*16+HEX2DEC(C$1)+1,2)="",TRIM(INDEX(OpCode!$A$2:$J$257,HEX2DEC($A4)*16+HEX2DEC(C$1)+1,3)&amp;CHAR(10)&amp;INDEX(OpCode!$A$2:$J$257,HEX2DEC($A4)*16+HEX2DEC(C$1)+1,4))," ")</f>
        <v>AND
(dp,X)</v>
      </c>
      <c r="D4" s="14" t="str">
        <f>IF(INDEX(OpCode!$A$2:$J$257,HEX2DEC($A4)*16+HEX2DEC(D$1)+1,2)="",TRIM(INDEX(OpCode!$A$2:$J$257,HEX2DEC($A4)*16+HEX2DEC(D$1)+1,3)&amp;CHAR(10)&amp;INDEX(OpCode!$A$2:$J$257,HEX2DEC($A4)*16+HEX2DEC(D$1)+1,4))," ")</f>
        <v xml:space="preserve"> </v>
      </c>
      <c r="E4" s="14" t="str">
        <f>IF(INDEX(OpCode!$A$2:$J$257,HEX2DEC($A4)*16+HEX2DEC(E$1)+1,2)="",TRIM(INDEX(OpCode!$A$2:$J$257,HEX2DEC($A4)*16+HEX2DEC(E$1)+1,3)&amp;CHAR(10)&amp;INDEX(OpCode!$A$2:$J$257,HEX2DEC($A4)*16+HEX2DEC(E$1)+1,4))," ")</f>
        <v xml:space="preserve"> </v>
      </c>
      <c r="F4" s="14" t="str">
        <f>IF(INDEX(OpCode!$A$2:$J$257,HEX2DEC($A4)*16+HEX2DEC(F$1)+1,2)="",TRIM(INDEX(OpCode!$A$2:$J$257,HEX2DEC($A4)*16+HEX2DEC(F$1)+1,3)&amp;CHAR(10)&amp;INDEX(OpCode!$A$2:$J$257,HEX2DEC($A4)*16+HEX2DEC(F$1)+1,4))," ")</f>
        <v>BIT
dp</v>
      </c>
      <c r="G4" s="14" t="str">
        <f>IF(INDEX(OpCode!$A$2:$J$257,HEX2DEC($A4)*16+HEX2DEC(G$1)+1,2)="",TRIM(INDEX(OpCode!$A$2:$J$257,HEX2DEC($A4)*16+HEX2DEC(G$1)+1,3)&amp;CHAR(10)&amp;INDEX(OpCode!$A$2:$J$257,HEX2DEC($A4)*16+HEX2DEC(G$1)+1,4))," ")</f>
        <v>AND
dp</v>
      </c>
      <c r="H4" s="14" t="str">
        <f>IF(INDEX(OpCode!$A$2:$J$257,HEX2DEC($A4)*16+HEX2DEC(H$1)+1,2)="",TRIM(INDEX(OpCode!$A$2:$J$257,HEX2DEC($A4)*16+HEX2DEC(H$1)+1,3)&amp;CHAR(10)&amp;INDEX(OpCode!$A$2:$J$257,HEX2DEC($A4)*16+HEX2DEC(H$1)+1,4))," ")</f>
        <v>ROL
dp</v>
      </c>
      <c r="I4" s="14" t="str">
        <f>IF(INDEX(OpCode!$A$2:$J$257,HEX2DEC($A4)*16+HEX2DEC(I$1)+1,2)="",TRIM(INDEX(OpCode!$A$2:$J$257,HEX2DEC($A4)*16+HEX2DEC(I$1)+1,3)&amp;CHAR(10)&amp;INDEX(OpCode!$A$2:$J$257,HEX2DEC($A4)*16+HEX2DEC(I$1)+1,4))," ")</f>
        <v xml:space="preserve"> </v>
      </c>
      <c r="J4" s="14" t="str">
        <f>IF(INDEX(OpCode!$A$2:$J$257,HEX2DEC($A4)*16+HEX2DEC(J$1)+1,2)="",TRIM(INDEX(OpCode!$A$2:$J$257,HEX2DEC($A4)*16+HEX2DEC(J$1)+1,3)&amp;CHAR(10)&amp;INDEX(OpCode!$A$2:$J$257,HEX2DEC($A4)*16+HEX2DEC(J$1)+1,4))," ")</f>
        <v xml:space="preserve">PLP
</v>
      </c>
      <c r="K4" s="14" t="str">
        <f>IF(INDEX(OpCode!$A$2:$J$257,HEX2DEC($A4)*16+HEX2DEC(K$1)+1,2)="",TRIM(INDEX(OpCode!$A$2:$J$257,HEX2DEC($A4)*16+HEX2DEC(K$1)+1,3)&amp;CHAR(10)&amp;INDEX(OpCode!$A$2:$J$257,HEX2DEC($A4)*16+HEX2DEC(K$1)+1,4))," ")</f>
        <v>AND
imm</v>
      </c>
      <c r="L4" s="14" t="str">
        <f>IF(INDEX(OpCode!$A$2:$J$257,HEX2DEC($A4)*16+HEX2DEC(L$1)+1,2)="",TRIM(INDEX(OpCode!$A$2:$J$257,HEX2DEC($A4)*16+HEX2DEC(L$1)+1,3)&amp;CHAR(10)&amp;INDEX(OpCode!$A$2:$J$257,HEX2DEC($A4)*16+HEX2DEC(L$1)+1,4))," ")</f>
        <v>ROL
A</v>
      </c>
      <c r="M4" s="14" t="str">
        <f>IF(INDEX(OpCode!$A$2:$J$257,HEX2DEC($A4)*16+HEX2DEC(M$1)+1,2)="",TRIM(INDEX(OpCode!$A$2:$J$257,HEX2DEC($A4)*16+HEX2DEC(M$1)+1,3)&amp;CHAR(10)&amp;INDEX(OpCode!$A$2:$J$257,HEX2DEC($A4)*16+HEX2DEC(M$1)+1,4))," ")</f>
        <v xml:space="preserve"> </v>
      </c>
      <c r="N4" s="14" t="str">
        <f>IF(INDEX(OpCode!$A$2:$J$257,HEX2DEC($A4)*16+HEX2DEC(N$1)+1,2)="",TRIM(INDEX(OpCode!$A$2:$J$257,HEX2DEC($A4)*16+HEX2DEC(N$1)+1,3)&amp;CHAR(10)&amp;INDEX(OpCode!$A$2:$J$257,HEX2DEC($A4)*16+HEX2DEC(N$1)+1,4))," ")</f>
        <v>BIT
abs</v>
      </c>
      <c r="O4" s="14" t="str">
        <f>IF(INDEX(OpCode!$A$2:$J$257,HEX2DEC($A4)*16+HEX2DEC(O$1)+1,2)="",TRIM(INDEX(OpCode!$A$2:$J$257,HEX2DEC($A4)*16+HEX2DEC(O$1)+1,3)&amp;CHAR(10)&amp;INDEX(OpCode!$A$2:$J$257,HEX2DEC($A4)*16+HEX2DEC(O$1)+1,4))," ")</f>
        <v>AND
abs</v>
      </c>
      <c r="P4" s="14" t="str">
        <f>IF(INDEX(OpCode!$A$2:$J$257,HEX2DEC($A4)*16+HEX2DEC(P$1)+1,2)="",TRIM(INDEX(OpCode!$A$2:$J$257,HEX2DEC($A4)*16+HEX2DEC(P$1)+1,3)&amp;CHAR(10)&amp;INDEX(OpCode!$A$2:$J$257,HEX2DEC($A4)*16+HEX2DEC(P$1)+1,4))," ")</f>
        <v>ROL
abs</v>
      </c>
      <c r="Q4" s="14" t="str">
        <f>IF(INDEX(OpCode!$A$2:$J$257,HEX2DEC($A4)*16+HEX2DEC(Q$1)+1,2)="",TRIM(INDEX(OpCode!$A$2:$J$257,HEX2DEC($A4)*16+HEX2DEC(Q$1)+1,3)&amp;CHAR(10)&amp;INDEX(OpCode!$A$2:$J$257,HEX2DEC($A4)*16+HEX2DEC(Q$1)+1,4))," ")</f>
        <v xml:space="preserve"> </v>
      </c>
    </row>
    <row r="5" spans="1:17" ht="27" x14ac:dyDescent="0.25">
      <c r="A5" s="16">
        <v>3</v>
      </c>
      <c r="B5" s="14" t="str">
        <f>IF(INDEX(OpCode!$A$2:$J$257,HEX2DEC($A5)*16+HEX2DEC(B$1)+1,2)="",TRIM(INDEX(OpCode!$A$2:$J$257,HEX2DEC($A5)*16+HEX2DEC(B$1)+1,3)&amp;CHAR(10)&amp;INDEX(OpCode!$A$2:$J$257,HEX2DEC($A5)*16+HEX2DEC(B$1)+1,4))," ")</f>
        <v>BMI
rel8</v>
      </c>
      <c r="C5" s="14" t="str">
        <f>IF(INDEX(OpCode!$A$2:$J$257,HEX2DEC($A5)*16+HEX2DEC(C$1)+1,2)="",TRIM(INDEX(OpCode!$A$2:$J$257,HEX2DEC($A5)*16+HEX2DEC(C$1)+1,3)&amp;CHAR(10)&amp;INDEX(OpCode!$A$2:$J$257,HEX2DEC($A5)*16+HEX2DEC(C$1)+1,4))," ")</f>
        <v>AND
(dp),Y</v>
      </c>
      <c r="D5" s="14" t="str">
        <f>IF(INDEX(OpCode!$A$2:$J$257,HEX2DEC($A5)*16+HEX2DEC(D$1)+1,2)="",TRIM(INDEX(OpCode!$A$2:$J$257,HEX2DEC($A5)*16+HEX2DEC(D$1)+1,3)&amp;CHAR(10)&amp;INDEX(OpCode!$A$2:$J$257,HEX2DEC($A5)*16+HEX2DEC(D$1)+1,4))," ")</f>
        <v>AND
(dp)</v>
      </c>
      <c r="E5" s="14" t="str">
        <f>IF(INDEX(OpCode!$A$2:$J$257,HEX2DEC($A5)*16+HEX2DEC(E$1)+1,2)="",TRIM(INDEX(OpCode!$A$2:$J$257,HEX2DEC($A5)*16+HEX2DEC(E$1)+1,3)&amp;CHAR(10)&amp;INDEX(OpCode!$A$2:$J$257,HEX2DEC($A5)*16+HEX2DEC(E$1)+1,4))," ")</f>
        <v xml:space="preserve"> </v>
      </c>
      <c r="F5" s="14" t="str">
        <f>IF(INDEX(OpCode!$A$2:$J$257,HEX2DEC($A5)*16+HEX2DEC(F$1)+1,2)="",TRIM(INDEX(OpCode!$A$2:$J$257,HEX2DEC($A5)*16+HEX2DEC(F$1)+1,3)&amp;CHAR(10)&amp;INDEX(OpCode!$A$2:$J$257,HEX2DEC($A5)*16+HEX2DEC(F$1)+1,4))," ")</f>
        <v>BIT
dp,X</v>
      </c>
      <c r="G5" s="14" t="str">
        <f>IF(INDEX(OpCode!$A$2:$J$257,HEX2DEC($A5)*16+HEX2DEC(G$1)+1,2)="",TRIM(INDEX(OpCode!$A$2:$J$257,HEX2DEC($A5)*16+HEX2DEC(G$1)+1,3)&amp;CHAR(10)&amp;INDEX(OpCode!$A$2:$J$257,HEX2DEC($A5)*16+HEX2DEC(G$1)+1,4))," ")</f>
        <v>AND
dp,X</v>
      </c>
      <c r="H5" s="14" t="str">
        <f>IF(INDEX(OpCode!$A$2:$J$257,HEX2DEC($A5)*16+HEX2DEC(H$1)+1,2)="",TRIM(INDEX(OpCode!$A$2:$J$257,HEX2DEC($A5)*16+HEX2DEC(H$1)+1,3)&amp;CHAR(10)&amp;INDEX(OpCode!$A$2:$J$257,HEX2DEC($A5)*16+HEX2DEC(H$1)+1,4))," ")</f>
        <v>ROL
dp,X</v>
      </c>
      <c r="I5" s="14" t="str">
        <f>IF(INDEX(OpCode!$A$2:$J$257,HEX2DEC($A5)*16+HEX2DEC(I$1)+1,2)="",TRIM(INDEX(OpCode!$A$2:$J$257,HEX2DEC($A5)*16+HEX2DEC(I$1)+1,3)&amp;CHAR(10)&amp;INDEX(OpCode!$A$2:$J$257,HEX2DEC($A5)*16+HEX2DEC(I$1)+1,4))," ")</f>
        <v xml:space="preserve"> </v>
      </c>
      <c r="J5" s="14" t="str">
        <f>IF(INDEX(OpCode!$A$2:$J$257,HEX2DEC($A5)*16+HEX2DEC(J$1)+1,2)="",TRIM(INDEX(OpCode!$A$2:$J$257,HEX2DEC($A5)*16+HEX2DEC(J$1)+1,3)&amp;CHAR(10)&amp;INDEX(OpCode!$A$2:$J$257,HEX2DEC($A5)*16+HEX2DEC(J$1)+1,4))," ")</f>
        <v xml:space="preserve">SEC
</v>
      </c>
      <c r="K5" s="14" t="str">
        <f>IF(INDEX(OpCode!$A$2:$J$257,HEX2DEC($A5)*16+HEX2DEC(K$1)+1,2)="",TRIM(INDEX(OpCode!$A$2:$J$257,HEX2DEC($A5)*16+HEX2DEC(K$1)+1,3)&amp;CHAR(10)&amp;INDEX(OpCode!$A$2:$J$257,HEX2DEC($A5)*16+HEX2DEC(K$1)+1,4))," ")</f>
        <v>AND
abs,Y</v>
      </c>
      <c r="L5" s="14" t="str">
        <f>IF(INDEX(OpCode!$A$2:$J$257,HEX2DEC($A5)*16+HEX2DEC(L$1)+1,2)="",TRIM(INDEX(OpCode!$A$2:$J$257,HEX2DEC($A5)*16+HEX2DEC(L$1)+1,3)&amp;CHAR(10)&amp;INDEX(OpCode!$A$2:$J$257,HEX2DEC($A5)*16+HEX2DEC(L$1)+1,4))," ")</f>
        <v>DEC
A</v>
      </c>
      <c r="M5" s="14" t="str">
        <f>IF(INDEX(OpCode!$A$2:$J$257,HEX2DEC($A5)*16+HEX2DEC(M$1)+1,2)="",TRIM(INDEX(OpCode!$A$2:$J$257,HEX2DEC($A5)*16+HEX2DEC(M$1)+1,3)&amp;CHAR(10)&amp;INDEX(OpCode!$A$2:$J$257,HEX2DEC($A5)*16+HEX2DEC(M$1)+1,4))," ")</f>
        <v xml:space="preserve"> </v>
      </c>
      <c r="N5" s="14" t="str">
        <f>IF(INDEX(OpCode!$A$2:$J$257,HEX2DEC($A5)*16+HEX2DEC(N$1)+1,2)="",TRIM(INDEX(OpCode!$A$2:$J$257,HEX2DEC($A5)*16+HEX2DEC(N$1)+1,3)&amp;CHAR(10)&amp;INDEX(OpCode!$A$2:$J$257,HEX2DEC($A5)*16+HEX2DEC(N$1)+1,4))," ")</f>
        <v>BIT
abs,X</v>
      </c>
      <c r="O5" s="14" t="str">
        <f>IF(INDEX(OpCode!$A$2:$J$257,HEX2DEC($A5)*16+HEX2DEC(O$1)+1,2)="",TRIM(INDEX(OpCode!$A$2:$J$257,HEX2DEC($A5)*16+HEX2DEC(O$1)+1,3)&amp;CHAR(10)&amp;INDEX(OpCode!$A$2:$J$257,HEX2DEC($A5)*16+HEX2DEC(O$1)+1,4))," ")</f>
        <v>AND
abs,X</v>
      </c>
      <c r="P5" s="14" t="str">
        <f>IF(INDEX(OpCode!$A$2:$J$257,HEX2DEC($A5)*16+HEX2DEC(P$1)+1,2)="",TRIM(INDEX(OpCode!$A$2:$J$257,HEX2DEC($A5)*16+HEX2DEC(P$1)+1,3)&amp;CHAR(10)&amp;INDEX(OpCode!$A$2:$J$257,HEX2DEC($A5)*16+HEX2DEC(P$1)+1,4))," ")</f>
        <v>ROL
abs,X</v>
      </c>
      <c r="Q5" s="14" t="str">
        <f>IF(INDEX(OpCode!$A$2:$J$257,HEX2DEC($A5)*16+HEX2DEC(Q$1)+1,2)="",TRIM(INDEX(OpCode!$A$2:$J$257,HEX2DEC($A5)*16+HEX2DEC(Q$1)+1,3)&amp;CHAR(10)&amp;INDEX(OpCode!$A$2:$J$257,HEX2DEC($A5)*16+HEX2DEC(Q$1)+1,4))," ")</f>
        <v xml:space="preserve"> </v>
      </c>
    </row>
    <row r="6" spans="1:17" ht="27" x14ac:dyDescent="0.25">
      <c r="A6" s="16">
        <v>4</v>
      </c>
      <c r="B6" s="14" t="str">
        <f>IF(INDEX(OpCode!$A$2:$J$257,HEX2DEC($A6)*16+HEX2DEC(B$1)+1,2)="",TRIM(INDEX(OpCode!$A$2:$J$257,HEX2DEC($A6)*16+HEX2DEC(B$1)+1,3)&amp;CHAR(10)&amp;INDEX(OpCode!$A$2:$J$257,HEX2DEC($A6)*16+HEX2DEC(B$1)+1,4))," ")</f>
        <v xml:space="preserve">RTI
</v>
      </c>
      <c r="C6" s="14" t="str">
        <f>IF(INDEX(OpCode!$A$2:$J$257,HEX2DEC($A6)*16+HEX2DEC(C$1)+1,2)="",TRIM(INDEX(OpCode!$A$2:$J$257,HEX2DEC($A6)*16+HEX2DEC(C$1)+1,3)&amp;CHAR(10)&amp;INDEX(OpCode!$A$2:$J$257,HEX2DEC($A6)*16+HEX2DEC(C$1)+1,4))," ")</f>
        <v>EOR
(dp,X)</v>
      </c>
      <c r="D6" s="14" t="str">
        <f>IF(INDEX(OpCode!$A$2:$J$257,HEX2DEC($A6)*16+HEX2DEC(D$1)+1,2)="",TRIM(INDEX(OpCode!$A$2:$J$257,HEX2DEC($A6)*16+HEX2DEC(D$1)+1,3)&amp;CHAR(10)&amp;INDEX(OpCode!$A$2:$J$257,HEX2DEC($A6)*16+HEX2DEC(D$1)+1,4))," ")</f>
        <v xml:space="preserve"> </v>
      </c>
      <c r="E6" s="14" t="str">
        <f>IF(INDEX(OpCode!$A$2:$J$257,HEX2DEC($A6)*16+HEX2DEC(E$1)+1,2)="",TRIM(INDEX(OpCode!$A$2:$J$257,HEX2DEC($A6)*16+HEX2DEC(E$1)+1,3)&amp;CHAR(10)&amp;INDEX(OpCode!$A$2:$J$257,HEX2DEC($A6)*16+HEX2DEC(E$1)+1,4))," ")</f>
        <v xml:space="preserve"> </v>
      </c>
      <c r="F6" s="14" t="str">
        <f>IF(INDEX(OpCode!$A$2:$J$257,HEX2DEC($A6)*16+HEX2DEC(F$1)+1,2)="",TRIM(INDEX(OpCode!$A$2:$J$257,HEX2DEC($A6)*16+HEX2DEC(F$1)+1,3)&amp;CHAR(10)&amp;INDEX(OpCode!$A$2:$J$257,HEX2DEC($A6)*16+HEX2DEC(F$1)+1,4))," ")</f>
        <v xml:space="preserve"> </v>
      </c>
      <c r="G6" s="14" t="str">
        <f>IF(INDEX(OpCode!$A$2:$J$257,HEX2DEC($A6)*16+HEX2DEC(G$1)+1,2)="",TRIM(INDEX(OpCode!$A$2:$J$257,HEX2DEC($A6)*16+HEX2DEC(G$1)+1,3)&amp;CHAR(10)&amp;INDEX(OpCode!$A$2:$J$257,HEX2DEC($A6)*16+HEX2DEC(G$1)+1,4))," ")</f>
        <v>EOR
dp</v>
      </c>
      <c r="H6" s="14" t="str">
        <f>IF(INDEX(OpCode!$A$2:$J$257,HEX2DEC($A6)*16+HEX2DEC(H$1)+1,2)="",TRIM(INDEX(OpCode!$A$2:$J$257,HEX2DEC($A6)*16+HEX2DEC(H$1)+1,3)&amp;CHAR(10)&amp;INDEX(OpCode!$A$2:$J$257,HEX2DEC($A6)*16+HEX2DEC(H$1)+1,4))," ")</f>
        <v>LSR
dp</v>
      </c>
      <c r="I6" s="14" t="str">
        <f>IF(INDEX(OpCode!$A$2:$J$257,HEX2DEC($A6)*16+HEX2DEC(I$1)+1,2)="",TRIM(INDEX(OpCode!$A$2:$J$257,HEX2DEC($A6)*16+HEX2DEC(I$1)+1,3)&amp;CHAR(10)&amp;INDEX(OpCode!$A$2:$J$257,HEX2DEC($A6)*16+HEX2DEC(I$1)+1,4))," ")</f>
        <v xml:space="preserve"> </v>
      </c>
      <c r="J6" s="14" t="str">
        <f>IF(INDEX(OpCode!$A$2:$J$257,HEX2DEC($A6)*16+HEX2DEC(J$1)+1,2)="",TRIM(INDEX(OpCode!$A$2:$J$257,HEX2DEC($A6)*16+HEX2DEC(J$1)+1,3)&amp;CHAR(10)&amp;INDEX(OpCode!$A$2:$J$257,HEX2DEC($A6)*16+HEX2DEC(J$1)+1,4))," ")</f>
        <v xml:space="preserve">PHA
</v>
      </c>
      <c r="K6" s="14" t="str">
        <f>IF(INDEX(OpCode!$A$2:$J$257,HEX2DEC($A6)*16+HEX2DEC(K$1)+1,2)="",TRIM(INDEX(OpCode!$A$2:$J$257,HEX2DEC($A6)*16+HEX2DEC(K$1)+1,3)&amp;CHAR(10)&amp;INDEX(OpCode!$A$2:$J$257,HEX2DEC($A6)*16+HEX2DEC(K$1)+1,4))," ")</f>
        <v>EOR
imm</v>
      </c>
      <c r="L6" s="14" t="str">
        <f>IF(INDEX(OpCode!$A$2:$J$257,HEX2DEC($A6)*16+HEX2DEC(L$1)+1,2)="",TRIM(INDEX(OpCode!$A$2:$J$257,HEX2DEC($A6)*16+HEX2DEC(L$1)+1,3)&amp;CHAR(10)&amp;INDEX(OpCode!$A$2:$J$257,HEX2DEC($A6)*16+HEX2DEC(L$1)+1,4))," ")</f>
        <v xml:space="preserve">LSR
</v>
      </c>
      <c r="M6" s="14" t="str">
        <f>IF(INDEX(OpCode!$A$2:$J$257,HEX2DEC($A6)*16+HEX2DEC(M$1)+1,2)="",TRIM(INDEX(OpCode!$A$2:$J$257,HEX2DEC($A6)*16+HEX2DEC(M$1)+1,3)&amp;CHAR(10)&amp;INDEX(OpCode!$A$2:$J$257,HEX2DEC($A6)*16+HEX2DEC(M$1)+1,4))," ")</f>
        <v xml:space="preserve"> </v>
      </c>
      <c r="N6" s="14" t="str">
        <f>IF(INDEX(OpCode!$A$2:$J$257,HEX2DEC($A6)*16+HEX2DEC(N$1)+1,2)="",TRIM(INDEX(OpCode!$A$2:$J$257,HEX2DEC($A6)*16+HEX2DEC(N$1)+1,3)&amp;CHAR(10)&amp;INDEX(OpCode!$A$2:$J$257,HEX2DEC($A6)*16+HEX2DEC(N$1)+1,4))," ")</f>
        <v>JMP
abs</v>
      </c>
      <c r="O6" s="14" t="str">
        <f>IF(INDEX(OpCode!$A$2:$J$257,HEX2DEC($A6)*16+HEX2DEC(O$1)+1,2)="",TRIM(INDEX(OpCode!$A$2:$J$257,HEX2DEC($A6)*16+HEX2DEC(O$1)+1,3)&amp;CHAR(10)&amp;INDEX(OpCode!$A$2:$J$257,HEX2DEC($A6)*16+HEX2DEC(O$1)+1,4))," ")</f>
        <v>EOR
abs</v>
      </c>
      <c r="P6" s="14" t="str">
        <f>IF(INDEX(OpCode!$A$2:$J$257,HEX2DEC($A6)*16+HEX2DEC(P$1)+1,2)="",TRIM(INDEX(OpCode!$A$2:$J$257,HEX2DEC($A6)*16+HEX2DEC(P$1)+1,3)&amp;CHAR(10)&amp;INDEX(OpCode!$A$2:$J$257,HEX2DEC($A6)*16+HEX2DEC(P$1)+1,4))," ")</f>
        <v>LSR
abs</v>
      </c>
      <c r="Q6" s="14" t="str">
        <f>IF(INDEX(OpCode!$A$2:$J$257,HEX2DEC($A6)*16+HEX2DEC(Q$1)+1,2)="",TRIM(INDEX(OpCode!$A$2:$J$257,HEX2DEC($A6)*16+HEX2DEC(Q$1)+1,3)&amp;CHAR(10)&amp;INDEX(OpCode!$A$2:$J$257,HEX2DEC($A6)*16+HEX2DEC(Q$1)+1,4))," ")</f>
        <v xml:space="preserve"> </v>
      </c>
    </row>
    <row r="7" spans="1:17" ht="27" x14ac:dyDescent="0.25">
      <c r="A7" s="16">
        <v>5</v>
      </c>
      <c r="B7" s="14" t="str">
        <f>IF(INDEX(OpCode!$A$2:$J$257,HEX2DEC($A7)*16+HEX2DEC(B$1)+1,2)="",TRIM(INDEX(OpCode!$A$2:$J$257,HEX2DEC($A7)*16+HEX2DEC(B$1)+1,3)&amp;CHAR(10)&amp;INDEX(OpCode!$A$2:$J$257,HEX2DEC($A7)*16+HEX2DEC(B$1)+1,4))," ")</f>
        <v>BVC
rel8</v>
      </c>
      <c r="C7" s="14" t="str">
        <f>IF(INDEX(OpCode!$A$2:$J$257,HEX2DEC($A7)*16+HEX2DEC(C$1)+1,2)="",TRIM(INDEX(OpCode!$A$2:$J$257,HEX2DEC($A7)*16+HEX2DEC(C$1)+1,3)&amp;CHAR(10)&amp;INDEX(OpCode!$A$2:$J$257,HEX2DEC($A7)*16+HEX2DEC(C$1)+1,4))," ")</f>
        <v>EOR
(dp),Y</v>
      </c>
      <c r="D7" s="14" t="str">
        <f>IF(INDEX(OpCode!$A$2:$J$257,HEX2DEC($A7)*16+HEX2DEC(D$1)+1,2)="",TRIM(INDEX(OpCode!$A$2:$J$257,HEX2DEC($A7)*16+HEX2DEC(D$1)+1,3)&amp;CHAR(10)&amp;INDEX(OpCode!$A$2:$J$257,HEX2DEC($A7)*16+HEX2DEC(D$1)+1,4))," ")</f>
        <v>EOR
(dp)</v>
      </c>
      <c r="E7" s="14" t="str">
        <f>IF(INDEX(OpCode!$A$2:$J$257,HEX2DEC($A7)*16+HEX2DEC(E$1)+1,2)="",TRIM(INDEX(OpCode!$A$2:$J$257,HEX2DEC($A7)*16+HEX2DEC(E$1)+1,3)&amp;CHAR(10)&amp;INDEX(OpCode!$A$2:$J$257,HEX2DEC($A7)*16+HEX2DEC(E$1)+1,4))," ")</f>
        <v xml:space="preserve"> </v>
      </c>
      <c r="F7" s="14" t="str">
        <f>IF(INDEX(OpCode!$A$2:$J$257,HEX2DEC($A7)*16+HEX2DEC(F$1)+1,2)="",TRIM(INDEX(OpCode!$A$2:$J$257,HEX2DEC($A7)*16+HEX2DEC(F$1)+1,3)&amp;CHAR(10)&amp;INDEX(OpCode!$A$2:$J$257,HEX2DEC($A7)*16+HEX2DEC(F$1)+1,4))," ")</f>
        <v xml:space="preserve"> </v>
      </c>
      <c r="G7" s="14" t="str">
        <f>IF(INDEX(OpCode!$A$2:$J$257,HEX2DEC($A7)*16+HEX2DEC(G$1)+1,2)="",TRIM(INDEX(OpCode!$A$2:$J$257,HEX2DEC($A7)*16+HEX2DEC(G$1)+1,3)&amp;CHAR(10)&amp;INDEX(OpCode!$A$2:$J$257,HEX2DEC($A7)*16+HEX2DEC(G$1)+1,4))," ")</f>
        <v>EOR
dp,X</v>
      </c>
      <c r="H7" s="14" t="str">
        <f>IF(INDEX(OpCode!$A$2:$J$257,HEX2DEC($A7)*16+HEX2DEC(H$1)+1,2)="",TRIM(INDEX(OpCode!$A$2:$J$257,HEX2DEC($A7)*16+HEX2DEC(H$1)+1,3)&amp;CHAR(10)&amp;INDEX(OpCode!$A$2:$J$257,HEX2DEC($A7)*16+HEX2DEC(H$1)+1,4))," ")</f>
        <v>LSR
dp,X</v>
      </c>
      <c r="I7" s="14" t="str">
        <f>IF(INDEX(OpCode!$A$2:$J$257,HEX2DEC($A7)*16+HEX2DEC(I$1)+1,2)="",TRIM(INDEX(OpCode!$A$2:$J$257,HEX2DEC($A7)*16+HEX2DEC(I$1)+1,3)&amp;CHAR(10)&amp;INDEX(OpCode!$A$2:$J$257,HEX2DEC($A7)*16+HEX2DEC(I$1)+1,4))," ")</f>
        <v xml:space="preserve"> </v>
      </c>
      <c r="J7" s="14" t="str">
        <f>IF(INDEX(OpCode!$A$2:$J$257,HEX2DEC($A7)*16+HEX2DEC(J$1)+1,2)="",TRIM(INDEX(OpCode!$A$2:$J$257,HEX2DEC($A7)*16+HEX2DEC(J$1)+1,3)&amp;CHAR(10)&amp;INDEX(OpCode!$A$2:$J$257,HEX2DEC($A7)*16+HEX2DEC(J$1)+1,4))," ")</f>
        <v xml:space="preserve">CLI
</v>
      </c>
      <c r="K7" s="14" t="str">
        <f>IF(INDEX(OpCode!$A$2:$J$257,HEX2DEC($A7)*16+HEX2DEC(K$1)+1,2)="",TRIM(INDEX(OpCode!$A$2:$J$257,HEX2DEC($A7)*16+HEX2DEC(K$1)+1,3)&amp;CHAR(10)&amp;INDEX(OpCode!$A$2:$J$257,HEX2DEC($A7)*16+HEX2DEC(K$1)+1,4))," ")</f>
        <v>EOR
abs,Y</v>
      </c>
      <c r="L7" s="14" t="str">
        <f>IF(INDEX(OpCode!$A$2:$J$257,HEX2DEC($A7)*16+HEX2DEC(L$1)+1,2)="",TRIM(INDEX(OpCode!$A$2:$J$257,HEX2DEC($A7)*16+HEX2DEC(L$1)+1,3)&amp;CHAR(10)&amp;INDEX(OpCode!$A$2:$J$257,HEX2DEC($A7)*16+HEX2DEC(L$1)+1,4))," ")</f>
        <v xml:space="preserve">PHY
</v>
      </c>
      <c r="M7" s="14" t="str">
        <f>IF(INDEX(OpCode!$A$2:$J$257,HEX2DEC($A7)*16+HEX2DEC(M$1)+1,2)="",TRIM(INDEX(OpCode!$A$2:$J$257,HEX2DEC($A7)*16+HEX2DEC(M$1)+1,3)&amp;CHAR(10)&amp;INDEX(OpCode!$A$2:$J$257,HEX2DEC($A7)*16+HEX2DEC(M$1)+1,4))," ")</f>
        <v xml:space="preserve"> </v>
      </c>
      <c r="N7" s="14" t="str">
        <f>IF(INDEX(OpCode!$A$2:$J$257,HEX2DEC($A7)*16+HEX2DEC(N$1)+1,2)="",TRIM(INDEX(OpCode!$A$2:$J$257,HEX2DEC($A7)*16+HEX2DEC(N$1)+1,3)&amp;CHAR(10)&amp;INDEX(OpCode!$A$2:$J$257,HEX2DEC($A7)*16+HEX2DEC(N$1)+1,4))," ")</f>
        <v xml:space="preserve"> </v>
      </c>
      <c r="O7" s="14" t="str">
        <f>IF(INDEX(OpCode!$A$2:$J$257,HEX2DEC($A7)*16+HEX2DEC(O$1)+1,2)="",TRIM(INDEX(OpCode!$A$2:$J$257,HEX2DEC($A7)*16+HEX2DEC(O$1)+1,3)&amp;CHAR(10)&amp;INDEX(OpCode!$A$2:$J$257,HEX2DEC($A7)*16+HEX2DEC(O$1)+1,4))," ")</f>
        <v>EOR
abs,X</v>
      </c>
      <c r="P7" s="14" t="str">
        <f>IF(INDEX(OpCode!$A$2:$J$257,HEX2DEC($A7)*16+HEX2DEC(P$1)+1,2)="",TRIM(INDEX(OpCode!$A$2:$J$257,HEX2DEC($A7)*16+HEX2DEC(P$1)+1,3)&amp;CHAR(10)&amp;INDEX(OpCode!$A$2:$J$257,HEX2DEC($A7)*16+HEX2DEC(P$1)+1,4))," ")</f>
        <v>LSR
abs,X</v>
      </c>
      <c r="Q7" s="14" t="str">
        <f>IF(INDEX(OpCode!$A$2:$J$257,HEX2DEC($A7)*16+HEX2DEC(Q$1)+1,2)="",TRIM(INDEX(OpCode!$A$2:$J$257,HEX2DEC($A7)*16+HEX2DEC(Q$1)+1,3)&amp;CHAR(10)&amp;INDEX(OpCode!$A$2:$J$257,HEX2DEC($A7)*16+HEX2DEC(Q$1)+1,4))," ")</f>
        <v xml:space="preserve"> </v>
      </c>
    </row>
    <row r="8" spans="1:17" ht="27" x14ac:dyDescent="0.25">
      <c r="A8" s="16">
        <v>6</v>
      </c>
      <c r="B8" s="14" t="str">
        <f>IF(INDEX(OpCode!$A$2:$J$257,HEX2DEC($A8)*16+HEX2DEC(B$1)+1,2)="",TRIM(INDEX(OpCode!$A$2:$J$257,HEX2DEC($A8)*16+HEX2DEC(B$1)+1,3)&amp;CHAR(10)&amp;INDEX(OpCode!$A$2:$J$257,HEX2DEC($A8)*16+HEX2DEC(B$1)+1,4))," ")</f>
        <v xml:space="preserve">RTS
</v>
      </c>
      <c r="C8" s="14" t="str">
        <f>IF(INDEX(OpCode!$A$2:$J$257,HEX2DEC($A8)*16+HEX2DEC(C$1)+1,2)="",TRIM(INDEX(OpCode!$A$2:$J$257,HEX2DEC($A8)*16+HEX2DEC(C$1)+1,3)&amp;CHAR(10)&amp;INDEX(OpCode!$A$2:$J$257,HEX2DEC($A8)*16+HEX2DEC(C$1)+1,4))," ")</f>
        <v>ADC
(dp,X)</v>
      </c>
      <c r="D8" s="14" t="str">
        <f>IF(INDEX(OpCode!$A$2:$J$257,HEX2DEC($A8)*16+HEX2DEC(D$1)+1,2)="",TRIM(INDEX(OpCode!$A$2:$J$257,HEX2DEC($A8)*16+HEX2DEC(D$1)+1,3)&amp;CHAR(10)&amp;INDEX(OpCode!$A$2:$J$257,HEX2DEC($A8)*16+HEX2DEC(D$1)+1,4))," ")</f>
        <v xml:space="preserve"> </v>
      </c>
      <c r="E8" s="14" t="str">
        <f>IF(INDEX(OpCode!$A$2:$J$257,HEX2DEC($A8)*16+HEX2DEC(E$1)+1,2)="",TRIM(INDEX(OpCode!$A$2:$J$257,HEX2DEC($A8)*16+HEX2DEC(E$1)+1,3)&amp;CHAR(10)&amp;INDEX(OpCode!$A$2:$J$257,HEX2DEC($A8)*16+HEX2DEC(E$1)+1,4))," ")</f>
        <v xml:space="preserve"> </v>
      </c>
      <c r="F8" s="14" t="str">
        <f>IF(INDEX(OpCode!$A$2:$J$257,HEX2DEC($A8)*16+HEX2DEC(F$1)+1,2)="",TRIM(INDEX(OpCode!$A$2:$J$257,HEX2DEC($A8)*16+HEX2DEC(F$1)+1,3)&amp;CHAR(10)&amp;INDEX(OpCode!$A$2:$J$257,HEX2DEC($A8)*16+HEX2DEC(F$1)+1,4))," ")</f>
        <v>STZ
dp</v>
      </c>
      <c r="G8" s="14" t="str">
        <f>IF(INDEX(OpCode!$A$2:$J$257,HEX2DEC($A8)*16+HEX2DEC(G$1)+1,2)="",TRIM(INDEX(OpCode!$A$2:$J$257,HEX2DEC($A8)*16+HEX2DEC(G$1)+1,3)&amp;CHAR(10)&amp;INDEX(OpCode!$A$2:$J$257,HEX2DEC($A8)*16+HEX2DEC(G$1)+1,4))," ")</f>
        <v>ADC
dp</v>
      </c>
      <c r="H8" s="14" t="str">
        <f>IF(INDEX(OpCode!$A$2:$J$257,HEX2DEC($A8)*16+HEX2DEC(H$1)+1,2)="",TRIM(INDEX(OpCode!$A$2:$J$257,HEX2DEC($A8)*16+HEX2DEC(H$1)+1,3)&amp;CHAR(10)&amp;INDEX(OpCode!$A$2:$J$257,HEX2DEC($A8)*16+HEX2DEC(H$1)+1,4))," ")</f>
        <v>ROR
dp</v>
      </c>
      <c r="I8" s="14" t="str">
        <f>IF(INDEX(OpCode!$A$2:$J$257,HEX2DEC($A8)*16+HEX2DEC(I$1)+1,2)="",TRIM(INDEX(OpCode!$A$2:$J$257,HEX2DEC($A8)*16+HEX2DEC(I$1)+1,3)&amp;CHAR(10)&amp;INDEX(OpCode!$A$2:$J$257,HEX2DEC($A8)*16+HEX2DEC(I$1)+1,4))," ")</f>
        <v xml:space="preserve"> </v>
      </c>
      <c r="J8" s="14" t="str">
        <f>IF(INDEX(OpCode!$A$2:$J$257,HEX2DEC($A8)*16+HEX2DEC(J$1)+1,2)="",TRIM(INDEX(OpCode!$A$2:$J$257,HEX2DEC($A8)*16+HEX2DEC(J$1)+1,3)&amp;CHAR(10)&amp;INDEX(OpCode!$A$2:$J$257,HEX2DEC($A8)*16+HEX2DEC(J$1)+1,4))," ")</f>
        <v xml:space="preserve">PLA
</v>
      </c>
      <c r="K8" s="14" t="str">
        <f>IF(INDEX(OpCode!$A$2:$J$257,HEX2DEC($A8)*16+HEX2DEC(K$1)+1,2)="",TRIM(INDEX(OpCode!$A$2:$J$257,HEX2DEC($A8)*16+HEX2DEC(K$1)+1,3)&amp;CHAR(10)&amp;INDEX(OpCode!$A$2:$J$257,HEX2DEC($A8)*16+HEX2DEC(K$1)+1,4))," ")</f>
        <v>ADC
imm</v>
      </c>
      <c r="L8" s="14" t="str">
        <f>IF(INDEX(OpCode!$A$2:$J$257,HEX2DEC($A8)*16+HEX2DEC(L$1)+1,2)="",TRIM(INDEX(OpCode!$A$2:$J$257,HEX2DEC($A8)*16+HEX2DEC(L$1)+1,3)&amp;CHAR(10)&amp;INDEX(OpCode!$A$2:$J$257,HEX2DEC($A8)*16+HEX2DEC(L$1)+1,4))," ")</f>
        <v>ROR
A</v>
      </c>
      <c r="M8" s="14" t="str">
        <f>IF(INDEX(OpCode!$A$2:$J$257,HEX2DEC($A8)*16+HEX2DEC(M$1)+1,2)="",TRIM(INDEX(OpCode!$A$2:$J$257,HEX2DEC($A8)*16+HEX2DEC(M$1)+1,3)&amp;CHAR(10)&amp;INDEX(OpCode!$A$2:$J$257,HEX2DEC($A8)*16+HEX2DEC(M$1)+1,4))," ")</f>
        <v xml:space="preserve"> </v>
      </c>
      <c r="N8" s="14" t="str">
        <f>IF(INDEX(OpCode!$A$2:$J$257,HEX2DEC($A8)*16+HEX2DEC(N$1)+1,2)="",TRIM(INDEX(OpCode!$A$2:$J$257,HEX2DEC($A8)*16+HEX2DEC(N$1)+1,3)&amp;CHAR(10)&amp;INDEX(OpCode!$A$2:$J$257,HEX2DEC($A8)*16+HEX2DEC(N$1)+1,4))," ")</f>
        <v>JMP
(abs)</v>
      </c>
      <c r="O8" s="14" t="str">
        <f>IF(INDEX(OpCode!$A$2:$J$257,HEX2DEC($A8)*16+HEX2DEC(O$1)+1,2)="",TRIM(INDEX(OpCode!$A$2:$J$257,HEX2DEC($A8)*16+HEX2DEC(O$1)+1,3)&amp;CHAR(10)&amp;INDEX(OpCode!$A$2:$J$257,HEX2DEC($A8)*16+HEX2DEC(O$1)+1,4))," ")</f>
        <v>ADC
abs</v>
      </c>
      <c r="P8" s="14" t="str">
        <f>IF(INDEX(OpCode!$A$2:$J$257,HEX2DEC($A8)*16+HEX2DEC(P$1)+1,2)="",TRIM(INDEX(OpCode!$A$2:$J$257,HEX2DEC($A8)*16+HEX2DEC(P$1)+1,3)&amp;CHAR(10)&amp;INDEX(OpCode!$A$2:$J$257,HEX2DEC($A8)*16+HEX2DEC(P$1)+1,4))," ")</f>
        <v>ROR
abs</v>
      </c>
      <c r="Q8" s="14" t="str">
        <f>IF(INDEX(OpCode!$A$2:$J$257,HEX2DEC($A8)*16+HEX2DEC(Q$1)+1,2)="",TRIM(INDEX(OpCode!$A$2:$J$257,HEX2DEC($A8)*16+HEX2DEC(Q$1)+1,3)&amp;CHAR(10)&amp;INDEX(OpCode!$A$2:$J$257,HEX2DEC($A8)*16+HEX2DEC(Q$1)+1,4))," ")</f>
        <v xml:space="preserve"> </v>
      </c>
    </row>
    <row r="9" spans="1:17" ht="27" x14ac:dyDescent="0.25">
      <c r="A9" s="16">
        <v>7</v>
      </c>
      <c r="B9" s="14" t="str">
        <f>IF(INDEX(OpCode!$A$2:$J$257,HEX2DEC($A9)*16+HEX2DEC(B$1)+1,2)="",TRIM(INDEX(OpCode!$A$2:$J$257,HEX2DEC($A9)*16+HEX2DEC(B$1)+1,3)&amp;CHAR(10)&amp;INDEX(OpCode!$A$2:$J$257,HEX2DEC($A9)*16+HEX2DEC(B$1)+1,4))," ")</f>
        <v>BVS
rel8</v>
      </c>
      <c r="C9" s="14" t="str">
        <f>IF(INDEX(OpCode!$A$2:$J$257,HEX2DEC($A9)*16+HEX2DEC(C$1)+1,2)="",TRIM(INDEX(OpCode!$A$2:$J$257,HEX2DEC($A9)*16+HEX2DEC(C$1)+1,3)&amp;CHAR(10)&amp;INDEX(OpCode!$A$2:$J$257,HEX2DEC($A9)*16+HEX2DEC(C$1)+1,4))," ")</f>
        <v>ADC
(dp),Y</v>
      </c>
      <c r="D9" s="14" t="str">
        <f>IF(INDEX(OpCode!$A$2:$J$257,HEX2DEC($A9)*16+HEX2DEC(D$1)+1,2)="",TRIM(INDEX(OpCode!$A$2:$J$257,HEX2DEC($A9)*16+HEX2DEC(D$1)+1,3)&amp;CHAR(10)&amp;INDEX(OpCode!$A$2:$J$257,HEX2DEC($A9)*16+HEX2DEC(D$1)+1,4))," ")</f>
        <v>ADC
(dp)</v>
      </c>
      <c r="E9" s="14" t="str">
        <f>IF(INDEX(OpCode!$A$2:$J$257,HEX2DEC($A9)*16+HEX2DEC(E$1)+1,2)="",TRIM(INDEX(OpCode!$A$2:$J$257,HEX2DEC($A9)*16+HEX2DEC(E$1)+1,3)&amp;CHAR(10)&amp;INDEX(OpCode!$A$2:$J$257,HEX2DEC($A9)*16+HEX2DEC(E$1)+1,4))," ")</f>
        <v xml:space="preserve"> </v>
      </c>
      <c r="F9" s="14" t="str">
        <f>IF(INDEX(OpCode!$A$2:$J$257,HEX2DEC($A9)*16+HEX2DEC(F$1)+1,2)="",TRIM(INDEX(OpCode!$A$2:$J$257,HEX2DEC($A9)*16+HEX2DEC(F$1)+1,3)&amp;CHAR(10)&amp;INDEX(OpCode!$A$2:$J$257,HEX2DEC($A9)*16+HEX2DEC(F$1)+1,4))," ")</f>
        <v>STZ
dp,X</v>
      </c>
      <c r="G9" s="14" t="str">
        <f>IF(INDEX(OpCode!$A$2:$J$257,HEX2DEC($A9)*16+HEX2DEC(G$1)+1,2)="",TRIM(INDEX(OpCode!$A$2:$J$257,HEX2DEC($A9)*16+HEX2DEC(G$1)+1,3)&amp;CHAR(10)&amp;INDEX(OpCode!$A$2:$J$257,HEX2DEC($A9)*16+HEX2DEC(G$1)+1,4))," ")</f>
        <v>ADC
dp,X</v>
      </c>
      <c r="H9" s="14" t="str">
        <f>IF(INDEX(OpCode!$A$2:$J$257,HEX2DEC($A9)*16+HEX2DEC(H$1)+1,2)="",TRIM(INDEX(OpCode!$A$2:$J$257,HEX2DEC($A9)*16+HEX2DEC(H$1)+1,3)&amp;CHAR(10)&amp;INDEX(OpCode!$A$2:$J$257,HEX2DEC($A9)*16+HEX2DEC(H$1)+1,4))," ")</f>
        <v>ROR
dp,X</v>
      </c>
      <c r="I9" s="14" t="str">
        <f>IF(INDEX(OpCode!$A$2:$J$257,HEX2DEC($A9)*16+HEX2DEC(I$1)+1,2)="",TRIM(INDEX(OpCode!$A$2:$J$257,HEX2DEC($A9)*16+HEX2DEC(I$1)+1,3)&amp;CHAR(10)&amp;INDEX(OpCode!$A$2:$J$257,HEX2DEC($A9)*16+HEX2DEC(I$1)+1,4))," ")</f>
        <v xml:space="preserve"> </v>
      </c>
      <c r="J9" s="14" t="str">
        <f>IF(INDEX(OpCode!$A$2:$J$257,HEX2DEC($A9)*16+HEX2DEC(J$1)+1,2)="",TRIM(INDEX(OpCode!$A$2:$J$257,HEX2DEC($A9)*16+HEX2DEC(J$1)+1,3)&amp;CHAR(10)&amp;INDEX(OpCode!$A$2:$J$257,HEX2DEC($A9)*16+HEX2DEC(J$1)+1,4))," ")</f>
        <v xml:space="preserve">SEI
</v>
      </c>
      <c r="K9" s="14" t="str">
        <f>IF(INDEX(OpCode!$A$2:$J$257,HEX2DEC($A9)*16+HEX2DEC(K$1)+1,2)="",TRIM(INDEX(OpCode!$A$2:$J$257,HEX2DEC($A9)*16+HEX2DEC(K$1)+1,3)&amp;CHAR(10)&amp;INDEX(OpCode!$A$2:$J$257,HEX2DEC($A9)*16+HEX2DEC(K$1)+1,4))," ")</f>
        <v>ADC
abs,Y</v>
      </c>
      <c r="L9" s="14" t="str">
        <f>IF(INDEX(OpCode!$A$2:$J$257,HEX2DEC($A9)*16+HEX2DEC(L$1)+1,2)="",TRIM(INDEX(OpCode!$A$2:$J$257,HEX2DEC($A9)*16+HEX2DEC(L$1)+1,3)&amp;CHAR(10)&amp;INDEX(OpCode!$A$2:$J$257,HEX2DEC($A9)*16+HEX2DEC(L$1)+1,4))," ")</f>
        <v xml:space="preserve">PLY
</v>
      </c>
      <c r="M9" s="14" t="str">
        <f>IF(INDEX(OpCode!$A$2:$J$257,HEX2DEC($A9)*16+HEX2DEC(M$1)+1,2)="",TRIM(INDEX(OpCode!$A$2:$J$257,HEX2DEC($A9)*16+HEX2DEC(M$1)+1,3)&amp;CHAR(10)&amp;INDEX(OpCode!$A$2:$J$257,HEX2DEC($A9)*16+HEX2DEC(M$1)+1,4))," ")</f>
        <v xml:space="preserve"> </v>
      </c>
      <c r="N9" s="14" t="str">
        <f>IF(INDEX(OpCode!$A$2:$J$257,HEX2DEC($A9)*16+HEX2DEC(N$1)+1,2)="",TRIM(INDEX(OpCode!$A$2:$J$257,HEX2DEC($A9)*16+HEX2DEC(N$1)+1,3)&amp;CHAR(10)&amp;INDEX(OpCode!$A$2:$J$257,HEX2DEC($A9)*16+HEX2DEC(N$1)+1,4))," ")</f>
        <v>JMP
(abs,X)</v>
      </c>
      <c r="O9" s="14" t="str">
        <f>IF(INDEX(OpCode!$A$2:$J$257,HEX2DEC($A9)*16+HEX2DEC(O$1)+1,2)="",TRIM(INDEX(OpCode!$A$2:$J$257,HEX2DEC($A9)*16+HEX2DEC(O$1)+1,3)&amp;CHAR(10)&amp;INDEX(OpCode!$A$2:$J$257,HEX2DEC($A9)*16+HEX2DEC(O$1)+1,4))," ")</f>
        <v>ADC
abs,X</v>
      </c>
      <c r="P9" s="14" t="str">
        <f>IF(INDEX(OpCode!$A$2:$J$257,HEX2DEC($A9)*16+HEX2DEC(P$1)+1,2)="",TRIM(INDEX(OpCode!$A$2:$J$257,HEX2DEC($A9)*16+HEX2DEC(P$1)+1,3)&amp;CHAR(10)&amp;INDEX(OpCode!$A$2:$J$257,HEX2DEC($A9)*16+HEX2DEC(P$1)+1,4))," ")</f>
        <v>ROR
abs,X</v>
      </c>
      <c r="Q9" s="14" t="str">
        <f>IF(INDEX(OpCode!$A$2:$J$257,HEX2DEC($A9)*16+HEX2DEC(Q$1)+1,2)="",TRIM(INDEX(OpCode!$A$2:$J$257,HEX2DEC($A9)*16+HEX2DEC(Q$1)+1,3)&amp;CHAR(10)&amp;INDEX(OpCode!$A$2:$J$257,HEX2DEC($A9)*16+HEX2DEC(Q$1)+1,4))," ")</f>
        <v xml:space="preserve"> </v>
      </c>
    </row>
    <row r="10" spans="1:17" ht="27" x14ac:dyDescent="0.25">
      <c r="A10" s="16">
        <v>8</v>
      </c>
      <c r="B10" s="14" t="str">
        <f>IF(INDEX(OpCode!$A$2:$J$257,HEX2DEC($A10)*16+HEX2DEC(B$1)+1,2)="",TRIM(INDEX(OpCode!$A$2:$J$257,HEX2DEC($A10)*16+HEX2DEC(B$1)+1,3)&amp;CHAR(10)&amp;INDEX(OpCode!$A$2:$J$257,HEX2DEC($A10)*16+HEX2DEC(B$1)+1,4))," ")</f>
        <v>BRA
rel8</v>
      </c>
      <c r="C10" s="14" t="str">
        <f>IF(INDEX(OpCode!$A$2:$J$257,HEX2DEC($A10)*16+HEX2DEC(C$1)+1,2)="",TRIM(INDEX(OpCode!$A$2:$J$257,HEX2DEC($A10)*16+HEX2DEC(C$1)+1,3)&amp;CHAR(10)&amp;INDEX(OpCode!$A$2:$J$257,HEX2DEC($A10)*16+HEX2DEC(C$1)+1,4))," ")</f>
        <v>STA
(dp,X)</v>
      </c>
      <c r="D10" s="14" t="str">
        <f>IF(INDEX(OpCode!$A$2:$J$257,HEX2DEC($A10)*16+HEX2DEC(D$1)+1,2)="",TRIM(INDEX(OpCode!$A$2:$J$257,HEX2DEC($A10)*16+HEX2DEC(D$1)+1,3)&amp;CHAR(10)&amp;INDEX(OpCode!$A$2:$J$257,HEX2DEC($A10)*16+HEX2DEC(D$1)+1,4))," ")</f>
        <v xml:space="preserve"> </v>
      </c>
      <c r="E10" s="14" t="str">
        <f>IF(INDEX(OpCode!$A$2:$J$257,HEX2DEC($A10)*16+HEX2DEC(E$1)+1,2)="",TRIM(INDEX(OpCode!$A$2:$J$257,HEX2DEC($A10)*16+HEX2DEC(E$1)+1,3)&amp;CHAR(10)&amp;INDEX(OpCode!$A$2:$J$257,HEX2DEC($A10)*16+HEX2DEC(E$1)+1,4))," ")</f>
        <v xml:space="preserve"> </v>
      </c>
      <c r="F10" s="14" t="str">
        <f>IF(INDEX(OpCode!$A$2:$J$257,HEX2DEC($A10)*16+HEX2DEC(F$1)+1,2)="",TRIM(INDEX(OpCode!$A$2:$J$257,HEX2DEC($A10)*16+HEX2DEC(F$1)+1,3)&amp;CHAR(10)&amp;INDEX(OpCode!$A$2:$J$257,HEX2DEC($A10)*16+HEX2DEC(F$1)+1,4))," ")</f>
        <v>STY
dp</v>
      </c>
      <c r="G10" s="14" t="str">
        <f>IF(INDEX(OpCode!$A$2:$J$257,HEX2DEC($A10)*16+HEX2DEC(G$1)+1,2)="",TRIM(INDEX(OpCode!$A$2:$J$257,HEX2DEC($A10)*16+HEX2DEC(G$1)+1,3)&amp;CHAR(10)&amp;INDEX(OpCode!$A$2:$J$257,HEX2DEC($A10)*16+HEX2DEC(G$1)+1,4))," ")</f>
        <v>STA
dp</v>
      </c>
      <c r="H10" s="14" t="str">
        <f>IF(INDEX(OpCode!$A$2:$J$257,HEX2DEC($A10)*16+HEX2DEC(H$1)+1,2)="",TRIM(INDEX(OpCode!$A$2:$J$257,HEX2DEC($A10)*16+HEX2DEC(H$1)+1,3)&amp;CHAR(10)&amp;INDEX(OpCode!$A$2:$J$257,HEX2DEC($A10)*16+HEX2DEC(H$1)+1,4))," ")</f>
        <v>STX
dp</v>
      </c>
      <c r="I10" s="14" t="str">
        <f>IF(INDEX(OpCode!$A$2:$J$257,HEX2DEC($A10)*16+HEX2DEC(I$1)+1,2)="",TRIM(INDEX(OpCode!$A$2:$J$257,HEX2DEC($A10)*16+HEX2DEC(I$1)+1,3)&amp;CHAR(10)&amp;INDEX(OpCode!$A$2:$J$257,HEX2DEC($A10)*16+HEX2DEC(I$1)+1,4))," ")</f>
        <v xml:space="preserve"> </v>
      </c>
      <c r="J10" s="14" t="str">
        <f>IF(INDEX(OpCode!$A$2:$J$257,HEX2DEC($A10)*16+HEX2DEC(J$1)+1,2)="",TRIM(INDEX(OpCode!$A$2:$J$257,HEX2DEC($A10)*16+HEX2DEC(J$1)+1,3)&amp;CHAR(10)&amp;INDEX(OpCode!$A$2:$J$257,HEX2DEC($A10)*16+HEX2DEC(J$1)+1,4))," ")</f>
        <v xml:space="preserve">DEY
</v>
      </c>
      <c r="K10" s="14" t="str">
        <f>IF(INDEX(OpCode!$A$2:$J$257,HEX2DEC($A10)*16+HEX2DEC(K$1)+1,2)="",TRIM(INDEX(OpCode!$A$2:$J$257,HEX2DEC($A10)*16+HEX2DEC(K$1)+1,3)&amp;CHAR(10)&amp;INDEX(OpCode!$A$2:$J$257,HEX2DEC($A10)*16+HEX2DEC(K$1)+1,4))," ")</f>
        <v>BIT
imm</v>
      </c>
      <c r="L10" s="14" t="str">
        <f>IF(INDEX(OpCode!$A$2:$J$257,HEX2DEC($A10)*16+HEX2DEC(L$1)+1,2)="",TRIM(INDEX(OpCode!$A$2:$J$257,HEX2DEC($A10)*16+HEX2DEC(L$1)+1,3)&amp;CHAR(10)&amp;INDEX(OpCode!$A$2:$J$257,HEX2DEC($A10)*16+HEX2DEC(L$1)+1,4))," ")</f>
        <v xml:space="preserve">TXA
</v>
      </c>
      <c r="M10" s="14" t="str">
        <f>IF(INDEX(OpCode!$A$2:$J$257,HEX2DEC($A10)*16+HEX2DEC(M$1)+1,2)="",TRIM(INDEX(OpCode!$A$2:$J$257,HEX2DEC($A10)*16+HEX2DEC(M$1)+1,3)&amp;CHAR(10)&amp;INDEX(OpCode!$A$2:$J$257,HEX2DEC($A10)*16+HEX2DEC(M$1)+1,4))," ")</f>
        <v xml:space="preserve"> </v>
      </c>
      <c r="N10" s="14" t="str">
        <f>IF(INDEX(OpCode!$A$2:$J$257,HEX2DEC($A10)*16+HEX2DEC(N$1)+1,2)="",TRIM(INDEX(OpCode!$A$2:$J$257,HEX2DEC($A10)*16+HEX2DEC(N$1)+1,3)&amp;CHAR(10)&amp;INDEX(OpCode!$A$2:$J$257,HEX2DEC($A10)*16+HEX2DEC(N$1)+1,4))," ")</f>
        <v>STY
abs</v>
      </c>
      <c r="O10" s="14" t="str">
        <f>IF(INDEX(OpCode!$A$2:$J$257,HEX2DEC($A10)*16+HEX2DEC(O$1)+1,2)="",TRIM(INDEX(OpCode!$A$2:$J$257,HEX2DEC($A10)*16+HEX2DEC(O$1)+1,3)&amp;CHAR(10)&amp;INDEX(OpCode!$A$2:$J$257,HEX2DEC($A10)*16+HEX2DEC(O$1)+1,4))," ")</f>
        <v>STA
abs</v>
      </c>
      <c r="P10" s="14" t="str">
        <f>IF(INDEX(OpCode!$A$2:$J$257,HEX2DEC($A10)*16+HEX2DEC(P$1)+1,2)="",TRIM(INDEX(OpCode!$A$2:$J$257,HEX2DEC($A10)*16+HEX2DEC(P$1)+1,3)&amp;CHAR(10)&amp;INDEX(OpCode!$A$2:$J$257,HEX2DEC($A10)*16+HEX2DEC(P$1)+1,4))," ")</f>
        <v>STX
abs</v>
      </c>
      <c r="Q10" s="14" t="str">
        <f>IF(INDEX(OpCode!$A$2:$J$257,HEX2DEC($A10)*16+HEX2DEC(Q$1)+1,2)="",TRIM(INDEX(OpCode!$A$2:$J$257,HEX2DEC($A10)*16+HEX2DEC(Q$1)+1,3)&amp;CHAR(10)&amp;INDEX(OpCode!$A$2:$J$257,HEX2DEC($A10)*16+HEX2DEC(Q$1)+1,4))," ")</f>
        <v xml:space="preserve"> </v>
      </c>
    </row>
    <row r="11" spans="1:17" ht="27" x14ac:dyDescent="0.25">
      <c r="A11" s="16">
        <v>9</v>
      </c>
      <c r="B11" s="14" t="str">
        <f>IF(INDEX(OpCode!$A$2:$J$257,HEX2DEC($A11)*16+HEX2DEC(B$1)+1,2)="",TRIM(INDEX(OpCode!$A$2:$J$257,HEX2DEC($A11)*16+HEX2DEC(B$1)+1,3)&amp;CHAR(10)&amp;INDEX(OpCode!$A$2:$J$257,HEX2DEC($A11)*16+HEX2DEC(B$1)+1,4))," ")</f>
        <v>BCC
rel8</v>
      </c>
      <c r="C11" s="14" t="str">
        <f>IF(INDEX(OpCode!$A$2:$J$257,HEX2DEC($A11)*16+HEX2DEC(C$1)+1,2)="",TRIM(INDEX(OpCode!$A$2:$J$257,HEX2DEC($A11)*16+HEX2DEC(C$1)+1,3)&amp;CHAR(10)&amp;INDEX(OpCode!$A$2:$J$257,HEX2DEC($A11)*16+HEX2DEC(C$1)+1,4))," ")</f>
        <v>STA
(dp),Y</v>
      </c>
      <c r="D11" s="14" t="str">
        <f>IF(INDEX(OpCode!$A$2:$J$257,HEX2DEC($A11)*16+HEX2DEC(D$1)+1,2)="",TRIM(INDEX(OpCode!$A$2:$J$257,HEX2DEC($A11)*16+HEX2DEC(D$1)+1,3)&amp;CHAR(10)&amp;INDEX(OpCode!$A$2:$J$257,HEX2DEC($A11)*16+HEX2DEC(D$1)+1,4))," ")</f>
        <v>STA
(dp)</v>
      </c>
      <c r="E11" s="14" t="str">
        <f>IF(INDEX(OpCode!$A$2:$J$257,HEX2DEC($A11)*16+HEX2DEC(E$1)+1,2)="",TRIM(INDEX(OpCode!$A$2:$J$257,HEX2DEC($A11)*16+HEX2DEC(E$1)+1,3)&amp;CHAR(10)&amp;INDEX(OpCode!$A$2:$J$257,HEX2DEC($A11)*16+HEX2DEC(E$1)+1,4))," ")</f>
        <v xml:space="preserve"> </v>
      </c>
      <c r="F11" s="14" t="str">
        <f>IF(INDEX(OpCode!$A$2:$J$257,HEX2DEC($A11)*16+HEX2DEC(F$1)+1,2)="",TRIM(INDEX(OpCode!$A$2:$J$257,HEX2DEC($A11)*16+HEX2DEC(F$1)+1,3)&amp;CHAR(10)&amp;INDEX(OpCode!$A$2:$J$257,HEX2DEC($A11)*16+HEX2DEC(F$1)+1,4))," ")</f>
        <v>STY
dp,X</v>
      </c>
      <c r="G11" s="14" t="str">
        <f>IF(INDEX(OpCode!$A$2:$J$257,HEX2DEC($A11)*16+HEX2DEC(G$1)+1,2)="",TRIM(INDEX(OpCode!$A$2:$J$257,HEX2DEC($A11)*16+HEX2DEC(G$1)+1,3)&amp;CHAR(10)&amp;INDEX(OpCode!$A$2:$J$257,HEX2DEC($A11)*16+HEX2DEC(G$1)+1,4))," ")</f>
        <v>STA
dp,X</v>
      </c>
      <c r="H11" s="14" t="str">
        <f>IF(INDEX(OpCode!$A$2:$J$257,HEX2DEC($A11)*16+HEX2DEC(H$1)+1,2)="",TRIM(INDEX(OpCode!$A$2:$J$257,HEX2DEC($A11)*16+HEX2DEC(H$1)+1,3)&amp;CHAR(10)&amp;INDEX(OpCode!$A$2:$J$257,HEX2DEC($A11)*16+HEX2DEC(H$1)+1,4))," ")</f>
        <v>STX
dp,Y</v>
      </c>
      <c r="I11" s="14" t="str">
        <f>IF(INDEX(OpCode!$A$2:$J$257,HEX2DEC($A11)*16+HEX2DEC(I$1)+1,2)="",TRIM(INDEX(OpCode!$A$2:$J$257,HEX2DEC($A11)*16+HEX2DEC(I$1)+1,3)&amp;CHAR(10)&amp;INDEX(OpCode!$A$2:$J$257,HEX2DEC($A11)*16+HEX2DEC(I$1)+1,4))," ")</f>
        <v xml:space="preserve"> </v>
      </c>
      <c r="J11" s="14" t="str">
        <f>IF(INDEX(OpCode!$A$2:$J$257,HEX2DEC($A11)*16+HEX2DEC(J$1)+1,2)="",TRIM(INDEX(OpCode!$A$2:$J$257,HEX2DEC($A11)*16+HEX2DEC(J$1)+1,3)&amp;CHAR(10)&amp;INDEX(OpCode!$A$2:$J$257,HEX2DEC($A11)*16+HEX2DEC(J$1)+1,4))," ")</f>
        <v xml:space="preserve">TYA
</v>
      </c>
      <c r="K11" s="14" t="str">
        <f>IF(INDEX(OpCode!$A$2:$J$257,HEX2DEC($A11)*16+HEX2DEC(K$1)+1,2)="",TRIM(INDEX(OpCode!$A$2:$J$257,HEX2DEC($A11)*16+HEX2DEC(K$1)+1,3)&amp;CHAR(10)&amp;INDEX(OpCode!$A$2:$J$257,HEX2DEC($A11)*16+HEX2DEC(K$1)+1,4))," ")</f>
        <v>STA
abs,Y</v>
      </c>
      <c r="L11" s="14" t="str">
        <f>IF(INDEX(OpCode!$A$2:$J$257,HEX2DEC($A11)*16+HEX2DEC(L$1)+1,2)="",TRIM(INDEX(OpCode!$A$2:$J$257,HEX2DEC($A11)*16+HEX2DEC(L$1)+1,3)&amp;CHAR(10)&amp;INDEX(OpCode!$A$2:$J$257,HEX2DEC($A11)*16+HEX2DEC(L$1)+1,4))," ")</f>
        <v xml:space="preserve">TXS
</v>
      </c>
      <c r="M11" s="14" t="str">
        <f>IF(INDEX(OpCode!$A$2:$J$257,HEX2DEC($A11)*16+HEX2DEC(M$1)+1,2)="",TRIM(INDEX(OpCode!$A$2:$J$257,HEX2DEC($A11)*16+HEX2DEC(M$1)+1,3)&amp;CHAR(10)&amp;INDEX(OpCode!$A$2:$J$257,HEX2DEC($A11)*16+HEX2DEC(M$1)+1,4))," ")</f>
        <v xml:space="preserve"> </v>
      </c>
      <c r="N11" s="14" t="str">
        <f>IF(INDEX(OpCode!$A$2:$J$257,HEX2DEC($A11)*16+HEX2DEC(N$1)+1,2)="",TRIM(INDEX(OpCode!$A$2:$J$257,HEX2DEC($A11)*16+HEX2DEC(N$1)+1,3)&amp;CHAR(10)&amp;INDEX(OpCode!$A$2:$J$257,HEX2DEC($A11)*16+HEX2DEC(N$1)+1,4))," ")</f>
        <v>STZ
abs</v>
      </c>
      <c r="O11" s="14" t="str">
        <f>IF(INDEX(OpCode!$A$2:$J$257,HEX2DEC($A11)*16+HEX2DEC(O$1)+1,2)="",TRIM(INDEX(OpCode!$A$2:$J$257,HEX2DEC($A11)*16+HEX2DEC(O$1)+1,3)&amp;CHAR(10)&amp;INDEX(OpCode!$A$2:$J$257,HEX2DEC($A11)*16+HEX2DEC(O$1)+1,4))," ")</f>
        <v>STA
abs,X</v>
      </c>
      <c r="P11" s="14" t="str">
        <f>IF(INDEX(OpCode!$A$2:$J$257,HEX2DEC($A11)*16+HEX2DEC(P$1)+1,2)="",TRIM(INDEX(OpCode!$A$2:$J$257,HEX2DEC($A11)*16+HEX2DEC(P$1)+1,3)&amp;CHAR(10)&amp;INDEX(OpCode!$A$2:$J$257,HEX2DEC($A11)*16+HEX2DEC(P$1)+1,4))," ")</f>
        <v>STZ
abs,X</v>
      </c>
      <c r="Q11" s="14" t="str">
        <f>IF(INDEX(OpCode!$A$2:$J$257,HEX2DEC($A11)*16+HEX2DEC(Q$1)+1,2)="",TRIM(INDEX(OpCode!$A$2:$J$257,HEX2DEC($A11)*16+HEX2DEC(Q$1)+1,3)&amp;CHAR(10)&amp;INDEX(OpCode!$A$2:$J$257,HEX2DEC($A11)*16+HEX2DEC(Q$1)+1,4))," ")</f>
        <v xml:space="preserve"> </v>
      </c>
    </row>
    <row r="12" spans="1:17" ht="27" x14ac:dyDescent="0.25">
      <c r="A12" s="16" t="s">
        <v>61</v>
      </c>
      <c r="B12" s="14" t="str">
        <f>IF(INDEX(OpCode!$A$2:$J$257,HEX2DEC($A12)*16+HEX2DEC(B$1)+1,2)="",TRIM(INDEX(OpCode!$A$2:$J$257,HEX2DEC($A12)*16+HEX2DEC(B$1)+1,3)&amp;CHAR(10)&amp;INDEX(OpCode!$A$2:$J$257,HEX2DEC($A12)*16+HEX2DEC(B$1)+1,4))," ")</f>
        <v>LDY
imm</v>
      </c>
      <c r="C12" s="14" t="str">
        <f>IF(INDEX(OpCode!$A$2:$J$257,HEX2DEC($A12)*16+HEX2DEC(C$1)+1,2)="",TRIM(INDEX(OpCode!$A$2:$J$257,HEX2DEC($A12)*16+HEX2DEC(C$1)+1,3)&amp;CHAR(10)&amp;INDEX(OpCode!$A$2:$J$257,HEX2DEC($A12)*16+HEX2DEC(C$1)+1,4))," ")</f>
        <v>LDA
(dp,X)</v>
      </c>
      <c r="D12" s="14" t="str">
        <f>IF(INDEX(OpCode!$A$2:$J$257,HEX2DEC($A12)*16+HEX2DEC(D$1)+1,2)="",TRIM(INDEX(OpCode!$A$2:$J$257,HEX2DEC($A12)*16+HEX2DEC(D$1)+1,3)&amp;CHAR(10)&amp;INDEX(OpCode!$A$2:$J$257,HEX2DEC($A12)*16+HEX2DEC(D$1)+1,4))," ")</f>
        <v>LDX
imm</v>
      </c>
      <c r="E12" s="14" t="str">
        <f>IF(INDEX(OpCode!$A$2:$J$257,HEX2DEC($A12)*16+HEX2DEC(E$1)+1,2)="",TRIM(INDEX(OpCode!$A$2:$J$257,HEX2DEC($A12)*16+HEX2DEC(E$1)+1,3)&amp;CHAR(10)&amp;INDEX(OpCode!$A$2:$J$257,HEX2DEC($A12)*16+HEX2DEC(E$1)+1,4))," ")</f>
        <v xml:space="preserve"> </v>
      </c>
      <c r="F12" s="14" t="str">
        <f>IF(INDEX(OpCode!$A$2:$J$257,HEX2DEC($A12)*16+HEX2DEC(F$1)+1,2)="",TRIM(INDEX(OpCode!$A$2:$J$257,HEX2DEC($A12)*16+HEX2DEC(F$1)+1,3)&amp;CHAR(10)&amp;INDEX(OpCode!$A$2:$J$257,HEX2DEC($A12)*16+HEX2DEC(F$1)+1,4))," ")</f>
        <v>LDY
dp</v>
      </c>
      <c r="G12" s="14" t="str">
        <f>IF(INDEX(OpCode!$A$2:$J$257,HEX2DEC($A12)*16+HEX2DEC(G$1)+1,2)="",TRIM(INDEX(OpCode!$A$2:$J$257,HEX2DEC($A12)*16+HEX2DEC(G$1)+1,3)&amp;CHAR(10)&amp;INDEX(OpCode!$A$2:$J$257,HEX2DEC($A12)*16+HEX2DEC(G$1)+1,4))," ")</f>
        <v>LDA
dp</v>
      </c>
      <c r="H12" s="14" t="str">
        <f>IF(INDEX(OpCode!$A$2:$J$257,HEX2DEC($A12)*16+HEX2DEC(H$1)+1,2)="",TRIM(INDEX(OpCode!$A$2:$J$257,HEX2DEC($A12)*16+HEX2DEC(H$1)+1,3)&amp;CHAR(10)&amp;INDEX(OpCode!$A$2:$J$257,HEX2DEC($A12)*16+HEX2DEC(H$1)+1,4))," ")</f>
        <v>LDX
dp</v>
      </c>
      <c r="I12" s="14" t="str">
        <f>IF(INDEX(OpCode!$A$2:$J$257,HEX2DEC($A12)*16+HEX2DEC(I$1)+1,2)="",TRIM(INDEX(OpCode!$A$2:$J$257,HEX2DEC($A12)*16+HEX2DEC(I$1)+1,3)&amp;CHAR(10)&amp;INDEX(OpCode!$A$2:$J$257,HEX2DEC($A12)*16+HEX2DEC(I$1)+1,4))," ")</f>
        <v xml:space="preserve"> </v>
      </c>
      <c r="J12" s="14" t="str">
        <f>IF(INDEX(OpCode!$A$2:$J$257,HEX2DEC($A12)*16+HEX2DEC(J$1)+1,2)="",TRIM(INDEX(OpCode!$A$2:$J$257,HEX2DEC($A12)*16+HEX2DEC(J$1)+1,3)&amp;CHAR(10)&amp;INDEX(OpCode!$A$2:$J$257,HEX2DEC($A12)*16+HEX2DEC(J$1)+1,4))," ")</f>
        <v xml:space="preserve">TAY
</v>
      </c>
      <c r="K12" s="14" t="str">
        <f>IF(INDEX(OpCode!$A$2:$J$257,HEX2DEC($A12)*16+HEX2DEC(K$1)+1,2)="",TRIM(INDEX(OpCode!$A$2:$J$257,HEX2DEC($A12)*16+HEX2DEC(K$1)+1,3)&amp;CHAR(10)&amp;INDEX(OpCode!$A$2:$J$257,HEX2DEC($A12)*16+HEX2DEC(K$1)+1,4))," ")</f>
        <v>LDA
imm</v>
      </c>
      <c r="L12" s="14" t="str">
        <f>IF(INDEX(OpCode!$A$2:$J$257,HEX2DEC($A12)*16+HEX2DEC(L$1)+1,2)="",TRIM(INDEX(OpCode!$A$2:$J$257,HEX2DEC($A12)*16+HEX2DEC(L$1)+1,3)&amp;CHAR(10)&amp;INDEX(OpCode!$A$2:$J$257,HEX2DEC($A12)*16+HEX2DEC(L$1)+1,4))," ")</f>
        <v xml:space="preserve">TAX
</v>
      </c>
      <c r="M12" s="14" t="str">
        <f>IF(INDEX(OpCode!$A$2:$J$257,HEX2DEC($A12)*16+HEX2DEC(M$1)+1,2)="",TRIM(INDEX(OpCode!$A$2:$J$257,HEX2DEC($A12)*16+HEX2DEC(M$1)+1,3)&amp;CHAR(10)&amp;INDEX(OpCode!$A$2:$J$257,HEX2DEC($A12)*16+HEX2DEC(M$1)+1,4))," ")</f>
        <v xml:space="preserve"> </v>
      </c>
      <c r="N12" s="14" t="str">
        <f>IF(INDEX(OpCode!$A$2:$J$257,HEX2DEC($A12)*16+HEX2DEC(N$1)+1,2)="",TRIM(INDEX(OpCode!$A$2:$J$257,HEX2DEC($A12)*16+HEX2DEC(N$1)+1,3)&amp;CHAR(10)&amp;INDEX(OpCode!$A$2:$J$257,HEX2DEC($A12)*16+HEX2DEC(N$1)+1,4))," ")</f>
        <v>LDY
abs</v>
      </c>
      <c r="O12" s="14" t="str">
        <f>IF(INDEX(OpCode!$A$2:$J$257,HEX2DEC($A12)*16+HEX2DEC(O$1)+1,2)="",TRIM(INDEX(OpCode!$A$2:$J$257,HEX2DEC($A12)*16+HEX2DEC(O$1)+1,3)&amp;CHAR(10)&amp;INDEX(OpCode!$A$2:$J$257,HEX2DEC($A12)*16+HEX2DEC(O$1)+1,4))," ")</f>
        <v>LDA
abs</v>
      </c>
      <c r="P12" s="14" t="str">
        <f>IF(INDEX(OpCode!$A$2:$J$257,HEX2DEC($A12)*16+HEX2DEC(P$1)+1,2)="",TRIM(INDEX(OpCode!$A$2:$J$257,HEX2DEC($A12)*16+HEX2DEC(P$1)+1,3)&amp;CHAR(10)&amp;INDEX(OpCode!$A$2:$J$257,HEX2DEC($A12)*16+HEX2DEC(P$1)+1,4))," ")</f>
        <v>LDX
abs</v>
      </c>
      <c r="Q12" s="14" t="str">
        <f>IF(INDEX(OpCode!$A$2:$J$257,HEX2DEC($A12)*16+HEX2DEC(Q$1)+1,2)="",TRIM(INDEX(OpCode!$A$2:$J$257,HEX2DEC($A12)*16+HEX2DEC(Q$1)+1,3)&amp;CHAR(10)&amp;INDEX(OpCode!$A$2:$J$257,HEX2DEC($A12)*16+HEX2DEC(Q$1)+1,4))," ")</f>
        <v xml:space="preserve"> </v>
      </c>
    </row>
    <row r="13" spans="1:17" ht="27" x14ac:dyDescent="0.25">
      <c r="A13" s="16" t="s">
        <v>62</v>
      </c>
      <c r="B13" s="14" t="str">
        <f>IF(INDEX(OpCode!$A$2:$J$257,HEX2DEC($A13)*16+HEX2DEC(B$1)+1,2)="",TRIM(INDEX(OpCode!$A$2:$J$257,HEX2DEC($A13)*16+HEX2DEC(B$1)+1,3)&amp;CHAR(10)&amp;INDEX(OpCode!$A$2:$J$257,HEX2DEC($A13)*16+HEX2DEC(B$1)+1,4))," ")</f>
        <v>BCS
rel8</v>
      </c>
      <c r="C13" s="14" t="str">
        <f>IF(INDEX(OpCode!$A$2:$J$257,HEX2DEC($A13)*16+HEX2DEC(C$1)+1,2)="",TRIM(INDEX(OpCode!$A$2:$J$257,HEX2DEC($A13)*16+HEX2DEC(C$1)+1,3)&amp;CHAR(10)&amp;INDEX(OpCode!$A$2:$J$257,HEX2DEC($A13)*16+HEX2DEC(C$1)+1,4))," ")</f>
        <v>LDA
(dp),Y</v>
      </c>
      <c r="D13" s="14" t="str">
        <f>IF(INDEX(OpCode!$A$2:$J$257,HEX2DEC($A13)*16+HEX2DEC(D$1)+1,2)="",TRIM(INDEX(OpCode!$A$2:$J$257,HEX2DEC($A13)*16+HEX2DEC(D$1)+1,3)&amp;CHAR(10)&amp;INDEX(OpCode!$A$2:$J$257,HEX2DEC($A13)*16+HEX2DEC(D$1)+1,4))," ")</f>
        <v>LDA
(dp)</v>
      </c>
      <c r="E13" s="14" t="str">
        <f>IF(INDEX(OpCode!$A$2:$J$257,HEX2DEC($A13)*16+HEX2DEC(E$1)+1,2)="",TRIM(INDEX(OpCode!$A$2:$J$257,HEX2DEC($A13)*16+HEX2DEC(E$1)+1,3)&amp;CHAR(10)&amp;INDEX(OpCode!$A$2:$J$257,HEX2DEC($A13)*16+HEX2DEC(E$1)+1,4))," ")</f>
        <v xml:space="preserve"> </v>
      </c>
      <c r="F13" s="14" t="str">
        <f>IF(INDEX(OpCode!$A$2:$J$257,HEX2DEC($A13)*16+HEX2DEC(F$1)+1,2)="",TRIM(INDEX(OpCode!$A$2:$J$257,HEX2DEC($A13)*16+HEX2DEC(F$1)+1,3)&amp;CHAR(10)&amp;INDEX(OpCode!$A$2:$J$257,HEX2DEC($A13)*16+HEX2DEC(F$1)+1,4))," ")</f>
        <v>LDY
dp,X</v>
      </c>
      <c r="G13" s="14" t="str">
        <f>IF(INDEX(OpCode!$A$2:$J$257,HEX2DEC($A13)*16+HEX2DEC(G$1)+1,2)="",TRIM(INDEX(OpCode!$A$2:$J$257,HEX2DEC($A13)*16+HEX2DEC(G$1)+1,3)&amp;CHAR(10)&amp;INDEX(OpCode!$A$2:$J$257,HEX2DEC($A13)*16+HEX2DEC(G$1)+1,4))," ")</f>
        <v>LDA
dp,X</v>
      </c>
      <c r="H13" s="14" t="str">
        <f>IF(INDEX(OpCode!$A$2:$J$257,HEX2DEC($A13)*16+HEX2DEC(H$1)+1,2)="",TRIM(INDEX(OpCode!$A$2:$J$257,HEX2DEC($A13)*16+HEX2DEC(H$1)+1,3)&amp;CHAR(10)&amp;INDEX(OpCode!$A$2:$J$257,HEX2DEC($A13)*16+HEX2DEC(H$1)+1,4))," ")</f>
        <v>LDX
dp,Y</v>
      </c>
      <c r="I13" s="14" t="str">
        <f>IF(INDEX(OpCode!$A$2:$J$257,HEX2DEC($A13)*16+HEX2DEC(I$1)+1,2)="",TRIM(INDEX(OpCode!$A$2:$J$257,HEX2DEC($A13)*16+HEX2DEC(I$1)+1,3)&amp;CHAR(10)&amp;INDEX(OpCode!$A$2:$J$257,HEX2DEC($A13)*16+HEX2DEC(I$1)+1,4))," ")</f>
        <v xml:space="preserve"> </v>
      </c>
      <c r="J13" s="14" t="str">
        <f>IF(INDEX(OpCode!$A$2:$J$257,HEX2DEC($A13)*16+HEX2DEC(J$1)+1,2)="",TRIM(INDEX(OpCode!$A$2:$J$257,HEX2DEC($A13)*16+HEX2DEC(J$1)+1,3)&amp;CHAR(10)&amp;INDEX(OpCode!$A$2:$J$257,HEX2DEC($A13)*16+HEX2DEC(J$1)+1,4))," ")</f>
        <v xml:space="preserve">CLV
</v>
      </c>
      <c r="K13" s="14" t="str">
        <f>IF(INDEX(OpCode!$A$2:$J$257,HEX2DEC($A13)*16+HEX2DEC(K$1)+1,2)="",TRIM(INDEX(OpCode!$A$2:$J$257,HEX2DEC($A13)*16+HEX2DEC(K$1)+1,3)&amp;CHAR(10)&amp;INDEX(OpCode!$A$2:$J$257,HEX2DEC($A13)*16+HEX2DEC(K$1)+1,4))," ")</f>
        <v>LDA
abs,Y</v>
      </c>
      <c r="L13" s="14" t="str">
        <f>IF(INDEX(OpCode!$A$2:$J$257,HEX2DEC($A13)*16+HEX2DEC(L$1)+1,2)="",TRIM(INDEX(OpCode!$A$2:$J$257,HEX2DEC($A13)*16+HEX2DEC(L$1)+1,3)&amp;CHAR(10)&amp;INDEX(OpCode!$A$2:$J$257,HEX2DEC($A13)*16+HEX2DEC(L$1)+1,4))," ")</f>
        <v xml:space="preserve">TSX
</v>
      </c>
      <c r="M13" s="14" t="str">
        <f>IF(INDEX(OpCode!$A$2:$J$257,HEX2DEC($A13)*16+HEX2DEC(M$1)+1,2)="",TRIM(INDEX(OpCode!$A$2:$J$257,HEX2DEC($A13)*16+HEX2DEC(M$1)+1,3)&amp;CHAR(10)&amp;INDEX(OpCode!$A$2:$J$257,HEX2DEC($A13)*16+HEX2DEC(M$1)+1,4))," ")</f>
        <v xml:space="preserve"> </v>
      </c>
      <c r="N13" s="14" t="str">
        <f>IF(INDEX(OpCode!$A$2:$J$257,HEX2DEC($A13)*16+HEX2DEC(N$1)+1,2)="",TRIM(INDEX(OpCode!$A$2:$J$257,HEX2DEC($A13)*16+HEX2DEC(N$1)+1,3)&amp;CHAR(10)&amp;INDEX(OpCode!$A$2:$J$257,HEX2DEC($A13)*16+HEX2DEC(N$1)+1,4))," ")</f>
        <v>LDY
abs,X</v>
      </c>
      <c r="O13" s="14" t="str">
        <f>IF(INDEX(OpCode!$A$2:$J$257,HEX2DEC($A13)*16+HEX2DEC(O$1)+1,2)="",TRIM(INDEX(OpCode!$A$2:$J$257,HEX2DEC($A13)*16+HEX2DEC(O$1)+1,3)&amp;CHAR(10)&amp;INDEX(OpCode!$A$2:$J$257,HEX2DEC($A13)*16+HEX2DEC(O$1)+1,4))," ")</f>
        <v>LDA
abs,X</v>
      </c>
      <c r="P13" s="14" t="str">
        <f>IF(INDEX(OpCode!$A$2:$J$257,HEX2DEC($A13)*16+HEX2DEC(P$1)+1,2)="",TRIM(INDEX(OpCode!$A$2:$J$257,HEX2DEC($A13)*16+HEX2DEC(P$1)+1,3)&amp;CHAR(10)&amp;INDEX(OpCode!$A$2:$J$257,HEX2DEC($A13)*16+HEX2DEC(P$1)+1,4))," ")</f>
        <v>LDX
abs,Y</v>
      </c>
      <c r="Q13" s="14" t="str">
        <f>IF(INDEX(OpCode!$A$2:$J$257,HEX2DEC($A13)*16+HEX2DEC(Q$1)+1,2)="",TRIM(INDEX(OpCode!$A$2:$J$257,HEX2DEC($A13)*16+HEX2DEC(Q$1)+1,3)&amp;CHAR(10)&amp;INDEX(OpCode!$A$2:$J$257,HEX2DEC($A13)*16+HEX2DEC(Q$1)+1,4))," ")</f>
        <v xml:space="preserve"> </v>
      </c>
    </row>
    <row r="14" spans="1:17" ht="27" x14ac:dyDescent="0.25">
      <c r="A14" s="16" t="s">
        <v>189</v>
      </c>
      <c r="B14" s="14" t="str">
        <f>IF(INDEX(OpCode!$A$2:$J$257,HEX2DEC($A14)*16+HEX2DEC(B$1)+1,2)="",TRIM(INDEX(OpCode!$A$2:$J$257,HEX2DEC($A14)*16+HEX2DEC(B$1)+1,3)&amp;CHAR(10)&amp;INDEX(OpCode!$A$2:$J$257,HEX2DEC($A14)*16+HEX2DEC(B$1)+1,4))," ")</f>
        <v>CPY
imm</v>
      </c>
      <c r="C14" s="14" t="str">
        <f>IF(INDEX(OpCode!$A$2:$J$257,HEX2DEC($A14)*16+HEX2DEC(C$1)+1,2)="",TRIM(INDEX(OpCode!$A$2:$J$257,HEX2DEC($A14)*16+HEX2DEC(C$1)+1,3)&amp;CHAR(10)&amp;INDEX(OpCode!$A$2:$J$257,HEX2DEC($A14)*16+HEX2DEC(C$1)+1,4))," ")</f>
        <v>CMP
(dp,X)</v>
      </c>
      <c r="D14" s="14" t="str">
        <f>IF(INDEX(OpCode!$A$2:$J$257,HEX2DEC($A14)*16+HEX2DEC(D$1)+1,2)="",TRIM(INDEX(OpCode!$A$2:$J$257,HEX2DEC($A14)*16+HEX2DEC(D$1)+1,3)&amp;CHAR(10)&amp;INDEX(OpCode!$A$2:$J$257,HEX2DEC($A14)*16+HEX2DEC(D$1)+1,4))," ")</f>
        <v xml:space="preserve"> </v>
      </c>
      <c r="E14" s="14" t="str">
        <f>IF(INDEX(OpCode!$A$2:$J$257,HEX2DEC($A14)*16+HEX2DEC(E$1)+1,2)="",TRIM(INDEX(OpCode!$A$2:$J$257,HEX2DEC($A14)*16+HEX2DEC(E$1)+1,3)&amp;CHAR(10)&amp;INDEX(OpCode!$A$2:$J$257,HEX2DEC($A14)*16+HEX2DEC(E$1)+1,4))," ")</f>
        <v xml:space="preserve"> </v>
      </c>
      <c r="F14" s="14" t="str">
        <f>IF(INDEX(OpCode!$A$2:$J$257,HEX2DEC($A14)*16+HEX2DEC(F$1)+1,2)="",TRIM(INDEX(OpCode!$A$2:$J$257,HEX2DEC($A14)*16+HEX2DEC(F$1)+1,3)&amp;CHAR(10)&amp;INDEX(OpCode!$A$2:$J$257,HEX2DEC($A14)*16+HEX2DEC(F$1)+1,4))," ")</f>
        <v>CPY
dp</v>
      </c>
      <c r="G14" s="14" t="str">
        <f>IF(INDEX(OpCode!$A$2:$J$257,HEX2DEC($A14)*16+HEX2DEC(G$1)+1,2)="",TRIM(INDEX(OpCode!$A$2:$J$257,HEX2DEC($A14)*16+HEX2DEC(G$1)+1,3)&amp;CHAR(10)&amp;INDEX(OpCode!$A$2:$J$257,HEX2DEC($A14)*16+HEX2DEC(G$1)+1,4))," ")</f>
        <v>CMP
dp</v>
      </c>
      <c r="H14" s="14" t="str">
        <f>IF(INDEX(OpCode!$A$2:$J$257,HEX2DEC($A14)*16+HEX2DEC(H$1)+1,2)="",TRIM(INDEX(OpCode!$A$2:$J$257,HEX2DEC($A14)*16+HEX2DEC(H$1)+1,3)&amp;CHAR(10)&amp;INDEX(OpCode!$A$2:$J$257,HEX2DEC($A14)*16+HEX2DEC(H$1)+1,4))," ")</f>
        <v>DEC
dp</v>
      </c>
      <c r="I14" s="14" t="str">
        <f>IF(INDEX(OpCode!$A$2:$J$257,HEX2DEC($A14)*16+HEX2DEC(I$1)+1,2)="",TRIM(INDEX(OpCode!$A$2:$J$257,HEX2DEC($A14)*16+HEX2DEC(I$1)+1,3)&amp;CHAR(10)&amp;INDEX(OpCode!$A$2:$J$257,HEX2DEC($A14)*16+HEX2DEC(I$1)+1,4))," ")</f>
        <v xml:space="preserve"> </v>
      </c>
      <c r="J14" s="14" t="str">
        <f>IF(INDEX(OpCode!$A$2:$J$257,HEX2DEC($A14)*16+HEX2DEC(J$1)+1,2)="",TRIM(INDEX(OpCode!$A$2:$J$257,HEX2DEC($A14)*16+HEX2DEC(J$1)+1,3)&amp;CHAR(10)&amp;INDEX(OpCode!$A$2:$J$257,HEX2DEC($A14)*16+HEX2DEC(J$1)+1,4))," ")</f>
        <v xml:space="preserve">INY
</v>
      </c>
      <c r="K14" s="14" t="str">
        <f>IF(INDEX(OpCode!$A$2:$J$257,HEX2DEC($A14)*16+HEX2DEC(K$1)+1,2)="",TRIM(INDEX(OpCode!$A$2:$J$257,HEX2DEC($A14)*16+HEX2DEC(K$1)+1,3)&amp;CHAR(10)&amp;INDEX(OpCode!$A$2:$J$257,HEX2DEC($A14)*16+HEX2DEC(K$1)+1,4))," ")</f>
        <v>CMP
imm</v>
      </c>
      <c r="L14" s="14" t="str">
        <f>IF(INDEX(OpCode!$A$2:$J$257,HEX2DEC($A14)*16+HEX2DEC(L$1)+1,2)="",TRIM(INDEX(OpCode!$A$2:$J$257,HEX2DEC($A14)*16+HEX2DEC(L$1)+1,3)&amp;CHAR(10)&amp;INDEX(OpCode!$A$2:$J$257,HEX2DEC($A14)*16+HEX2DEC(L$1)+1,4))," ")</f>
        <v xml:space="preserve">DEX
</v>
      </c>
      <c r="M14" s="14" t="str">
        <f>IF(INDEX(OpCode!$A$2:$J$257,HEX2DEC($A14)*16+HEX2DEC(M$1)+1,2)="",TRIM(INDEX(OpCode!$A$2:$J$257,HEX2DEC($A14)*16+HEX2DEC(M$1)+1,3)&amp;CHAR(10)&amp;INDEX(OpCode!$A$2:$J$257,HEX2DEC($A14)*16+HEX2DEC(M$1)+1,4))," ")</f>
        <v xml:space="preserve">WAI
</v>
      </c>
      <c r="N14" s="14" t="str">
        <f>IF(INDEX(OpCode!$A$2:$J$257,HEX2DEC($A14)*16+HEX2DEC(N$1)+1,2)="",TRIM(INDEX(OpCode!$A$2:$J$257,HEX2DEC($A14)*16+HEX2DEC(N$1)+1,3)&amp;CHAR(10)&amp;INDEX(OpCode!$A$2:$J$257,HEX2DEC($A14)*16+HEX2DEC(N$1)+1,4))," ")</f>
        <v>CPY
abs</v>
      </c>
      <c r="O14" s="14" t="str">
        <f>IF(INDEX(OpCode!$A$2:$J$257,HEX2DEC($A14)*16+HEX2DEC(O$1)+1,2)="",TRIM(INDEX(OpCode!$A$2:$J$257,HEX2DEC($A14)*16+HEX2DEC(O$1)+1,3)&amp;CHAR(10)&amp;INDEX(OpCode!$A$2:$J$257,HEX2DEC($A14)*16+HEX2DEC(O$1)+1,4))," ")</f>
        <v>CMP
abs</v>
      </c>
      <c r="P14" s="14" t="str">
        <f>IF(INDEX(OpCode!$A$2:$J$257,HEX2DEC($A14)*16+HEX2DEC(P$1)+1,2)="",TRIM(INDEX(OpCode!$A$2:$J$257,HEX2DEC($A14)*16+HEX2DEC(P$1)+1,3)&amp;CHAR(10)&amp;INDEX(OpCode!$A$2:$J$257,HEX2DEC($A14)*16+HEX2DEC(P$1)+1,4))," ")</f>
        <v>DEC
abs</v>
      </c>
      <c r="Q14" s="14" t="str">
        <f>IF(INDEX(OpCode!$A$2:$J$257,HEX2DEC($A14)*16+HEX2DEC(Q$1)+1,2)="",TRIM(INDEX(OpCode!$A$2:$J$257,HEX2DEC($A14)*16+HEX2DEC(Q$1)+1,3)&amp;CHAR(10)&amp;INDEX(OpCode!$A$2:$J$257,HEX2DEC($A14)*16+HEX2DEC(Q$1)+1,4))," ")</f>
        <v xml:space="preserve"> </v>
      </c>
    </row>
    <row r="15" spans="1:17" ht="27" x14ac:dyDescent="0.25">
      <c r="A15" s="16" t="s">
        <v>190</v>
      </c>
      <c r="B15" s="14" t="str">
        <f>IF(INDEX(OpCode!$A$2:$J$257,HEX2DEC($A15)*16+HEX2DEC(B$1)+1,2)="",TRIM(INDEX(OpCode!$A$2:$J$257,HEX2DEC($A15)*16+HEX2DEC(B$1)+1,3)&amp;CHAR(10)&amp;INDEX(OpCode!$A$2:$J$257,HEX2DEC($A15)*16+HEX2DEC(B$1)+1,4))," ")</f>
        <v>BNE
rel8</v>
      </c>
      <c r="C15" s="14" t="str">
        <f>IF(INDEX(OpCode!$A$2:$J$257,HEX2DEC($A15)*16+HEX2DEC(C$1)+1,2)="",TRIM(INDEX(OpCode!$A$2:$J$257,HEX2DEC($A15)*16+HEX2DEC(C$1)+1,3)&amp;CHAR(10)&amp;INDEX(OpCode!$A$2:$J$257,HEX2DEC($A15)*16+HEX2DEC(C$1)+1,4))," ")</f>
        <v>CMP
(dp),Y</v>
      </c>
      <c r="D15" s="14" t="str">
        <f>IF(INDEX(OpCode!$A$2:$J$257,HEX2DEC($A15)*16+HEX2DEC(D$1)+1,2)="",TRIM(INDEX(OpCode!$A$2:$J$257,HEX2DEC($A15)*16+HEX2DEC(D$1)+1,3)&amp;CHAR(10)&amp;INDEX(OpCode!$A$2:$J$257,HEX2DEC($A15)*16+HEX2DEC(D$1)+1,4))," ")</f>
        <v>CMP
(dp)</v>
      </c>
      <c r="E15" s="14" t="str">
        <f>IF(INDEX(OpCode!$A$2:$J$257,HEX2DEC($A15)*16+HEX2DEC(E$1)+1,2)="",TRIM(INDEX(OpCode!$A$2:$J$257,HEX2DEC($A15)*16+HEX2DEC(E$1)+1,3)&amp;CHAR(10)&amp;INDEX(OpCode!$A$2:$J$257,HEX2DEC($A15)*16+HEX2DEC(E$1)+1,4))," ")</f>
        <v xml:space="preserve"> </v>
      </c>
      <c r="F15" s="14" t="str">
        <f>IF(INDEX(OpCode!$A$2:$J$257,HEX2DEC($A15)*16+HEX2DEC(F$1)+1,2)="",TRIM(INDEX(OpCode!$A$2:$J$257,HEX2DEC($A15)*16+HEX2DEC(F$1)+1,3)&amp;CHAR(10)&amp;INDEX(OpCode!$A$2:$J$257,HEX2DEC($A15)*16+HEX2DEC(F$1)+1,4))," ")</f>
        <v xml:space="preserve"> </v>
      </c>
      <c r="G15" s="14" t="str">
        <f>IF(INDEX(OpCode!$A$2:$J$257,HEX2DEC($A15)*16+HEX2DEC(G$1)+1,2)="",TRIM(INDEX(OpCode!$A$2:$J$257,HEX2DEC($A15)*16+HEX2DEC(G$1)+1,3)&amp;CHAR(10)&amp;INDEX(OpCode!$A$2:$J$257,HEX2DEC($A15)*16+HEX2DEC(G$1)+1,4))," ")</f>
        <v>CMP
dp,X</v>
      </c>
      <c r="H15" s="14" t="str">
        <f>IF(INDEX(OpCode!$A$2:$J$257,HEX2DEC($A15)*16+HEX2DEC(H$1)+1,2)="",TRIM(INDEX(OpCode!$A$2:$J$257,HEX2DEC($A15)*16+HEX2DEC(H$1)+1,3)&amp;CHAR(10)&amp;INDEX(OpCode!$A$2:$J$257,HEX2DEC($A15)*16+HEX2DEC(H$1)+1,4))," ")</f>
        <v>DEC
dp,X</v>
      </c>
      <c r="I15" s="14" t="str">
        <f>IF(INDEX(OpCode!$A$2:$J$257,HEX2DEC($A15)*16+HEX2DEC(I$1)+1,2)="",TRIM(INDEX(OpCode!$A$2:$J$257,HEX2DEC($A15)*16+HEX2DEC(I$1)+1,3)&amp;CHAR(10)&amp;INDEX(OpCode!$A$2:$J$257,HEX2DEC($A15)*16+HEX2DEC(I$1)+1,4))," ")</f>
        <v xml:space="preserve"> </v>
      </c>
      <c r="J15" s="14" t="str">
        <f>IF(INDEX(OpCode!$A$2:$J$257,HEX2DEC($A15)*16+HEX2DEC(J$1)+1,2)="",TRIM(INDEX(OpCode!$A$2:$J$257,HEX2DEC($A15)*16+HEX2DEC(J$1)+1,3)&amp;CHAR(10)&amp;INDEX(OpCode!$A$2:$J$257,HEX2DEC($A15)*16+HEX2DEC(J$1)+1,4))," ")</f>
        <v xml:space="preserve">CLD
</v>
      </c>
      <c r="K15" s="14" t="str">
        <f>IF(INDEX(OpCode!$A$2:$J$257,HEX2DEC($A15)*16+HEX2DEC(K$1)+1,2)="",TRIM(INDEX(OpCode!$A$2:$J$257,HEX2DEC($A15)*16+HEX2DEC(K$1)+1,3)&amp;CHAR(10)&amp;INDEX(OpCode!$A$2:$J$257,HEX2DEC($A15)*16+HEX2DEC(K$1)+1,4))," ")</f>
        <v>CMP
abs,Y</v>
      </c>
      <c r="L15" s="14" t="str">
        <f>IF(INDEX(OpCode!$A$2:$J$257,HEX2DEC($A15)*16+HEX2DEC(L$1)+1,2)="",TRIM(INDEX(OpCode!$A$2:$J$257,HEX2DEC($A15)*16+HEX2DEC(L$1)+1,3)&amp;CHAR(10)&amp;INDEX(OpCode!$A$2:$J$257,HEX2DEC($A15)*16+HEX2DEC(L$1)+1,4))," ")</f>
        <v xml:space="preserve">PHX
</v>
      </c>
      <c r="M15" s="14" t="str">
        <f>IF(INDEX(OpCode!$A$2:$J$257,HEX2DEC($A15)*16+HEX2DEC(M$1)+1,2)="",TRIM(INDEX(OpCode!$A$2:$J$257,HEX2DEC($A15)*16+HEX2DEC(M$1)+1,3)&amp;CHAR(10)&amp;INDEX(OpCode!$A$2:$J$257,HEX2DEC($A15)*16+HEX2DEC(M$1)+1,4))," ")</f>
        <v xml:space="preserve">STP
</v>
      </c>
      <c r="N15" s="14" t="str">
        <f>IF(INDEX(OpCode!$A$2:$J$257,HEX2DEC($A15)*16+HEX2DEC(N$1)+1,2)="",TRIM(INDEX(OpCode!$A$2:$J$257,HEX2DEC($A15)*16+HEX2DEC(N$1)+1,3)&amp;CHAR(10)&amp;INDEX(OpCode!$A$2:$J$257,HEX2DEC($A15)*16+HEX2DEC(N$1)+1,4))," ")</f>
        <v xml:space="preserve"> </v>
      </c>
      <c r="O15" s="14" t="str">
        <f>IF(INDEX(OpCode!$A$2:$J$257,HEX2DEC($A15)*16+HEX2DEC(O$1)+1,2)="",TRIM(INDEX(OpCode!$A$2:$J$257,HEX2DEC($A15)*16+HEX2DEC(O$1)+1,3)&amp;CHAR(10)&amp;INDEX(OpCode!$A$2:$J$257,HEX2DEC($A15)*16+HEX2DEC(O$1)+1,4))," ")</f>
        <v>CMP
abs,X</v>
      </c>
      <c r="P15" s="14" t="str">
        <f>IF(INDEX(OpCode!$A$2:$J$257,HEX2DEC($A15)*16+HEX2DEC(P$1)+1,2)="",TRIM(INDEX(OpCode!$A$2:$J$257,HEX2DEC($A15)*16+HEX2DEC(P$1)+1,3)&amp;CHAR(10)&amp;INDEX(OpCode!$A$2:$J$257,HEX2DEC($A15)*16+HEX2DEC(P$1)+1,4))," ")</f>
        <v>DEC
abs,X</v>
      </c>
      <c r="Q15" s="14" t="str">
        <f>IF(INDEX(OpCode!$A$2:$J$257,HEX2DEC($A15)*16+HEX2DEC(Q$1)+1,2)="",TRIM(INDEX(OpCode!$A$2:$J$257,HEX2DEC($A15)*16+HEX2DEC(Q$1)+1,3)&amp;CHAR(10)&amp;INDEX(OpCode!$A$2:$J$257,HEX2DEC($A15)*16+HEX2DEC(Q$1)+1,4))," ")</f>
        <v xml:space="preserve"> </v>
      </c>
    </row>
    <row r="16" spans="1:17" ht="27" x14ac:dyDescent="0.25">
      <c r="A16" s="16" t="s">
        <v>191</v>
      </c>
      <c r="B16" s="14" t="str">
        <f>IF(INDEX(OpCode!$A$2:$J$257,HEX2DEC($A16)*16+HEX2DEC(B$1)+1,2)="",TRIM(INDEX(OpCode!$A$2:$J$257,HEX2DEC($A16)*16+HEX2DEC(B$1)+1,3)&amp;CHAR(10)&amp;INDEX(OpCode!$A$2:$J$257,HEX2DEC($A16)*16+HEX2DEC(B$1)+1,4))," ")</f>
        <v>CPX
imm</v>
      </c>
      <c r="C16" s="14" t="str">
        <f>IF(INDEX(OpCode!$A$2:$J$257,HEX2DEC($A16)*16+HEX2DEC(C$1)+1,2)="",TRIM(INDEX(OpCode!$A$2:$J$257,HEX2DEC($A16)*16+HEX2DEC(C$1)+1,3)&amp;CHAR(10)&amp;INDEX(OpCode!$A$2:$J$257,HEX2DEC($A16)*16+HEX2DEC(C$1)+1,4))," ")</f>
        <v>SBC
(dp,X)</v>
      </c>
      <c r="D16" s="14" t="str">
        <f>IF(INDEX(OpCode!$A$2:$J$257,HEX2DEC($A16)*16+HEX2DEC(D$1)+1,2)="",TRIM(INDEX(OpCode!$A$2:$J$257,HEX2DEC($A16)*16+HEX2DEC(D$1)+1,3)&amp;CHAR(10)&amp;INDEX(OpCode!$A$2:$J$257,HEX2DEC($A16)*16+HEX2DEC(D$1)+1,4))," ")</f>
        <v xml:space="preserve"> </v>
      </c>
      <c r="E16" s="14" t="str">
        <f>IF(INDEX(OpCode!$A$2:$J$257,HEX2DEC($A16)*16+HEX2DEC(E$1)+1,2)="",TRIM(INDEX(OpCode!$A$2:$J$257,HEX2DEC($A16)*16+HEX2DEC(E$1)+1,3)&amp;CHAR(10)&amp;INDEX(OpCode!$A$2:$J$257,HEX2DEC($A16)*16+HEX2DEC(E$1)+1,4))," ")</f>
        <v xml:space="preserve"> </v>
      </c>
      <c r="F16" s="14" t="str">
        <f>IF(INDEX(OpCode!$A$2:$J$257,HEX2DEC($A16)*16+HEX2DEC(F$1)+1,2)="",TRIM(INDEX(OpCode!$A$2:$J$257,HEX2DEC($A16)*16+HEX2DEC(F$1)+1,3)&amp;CHAR(10)&amp;INDEX(OpCode!$A$2:$J$257,HEX2DEC($A16)*16+HEX2DEC(F$1)+1,4))," ")</f>
        <v>CPX
dp</v>
      </c>
      <c r="G16" s="14" t="str">
        <f>IF(INDEX(OpCode!$A$2:$J$257,HEX2DEC($A16)*16+HEX2DEC(G$1)+1,2)="",TRIM(INDEX(OpCode!$A$2:$J$257,HEX2DEC($A16)*16+HEX2DEC(G$1)+1,3)&amp;CHAR(10)&amp;INDEX(OpCode!$A$2:$J$257,HEX2DEC($A16)*16+HEX2DEC(G$1)+1,4))," ")</f>
        <v>SBC
dp</v>
      </c>
      <c r="H16" s="14" t="str">
        <f>IF(INDEX(OpCode!$A$2:$J$257,HEX2DEC($A16)*16+HEX2DEC(H$1)+1,2)="",TRIM(INDEX(OpCode!$A$2:$J$257,HEX2DEC($A16)*16+HEX2DEC(H$1)+1,3)&amp;CHAR(10)&amp;INDEX(OpCode!$A$2:$J$257,HEX2DEC($A16)*16+HEX2DEC(H$1)+1,4))," ")</f>
        <v>INC
dp</v>
      </c>
      <c r="I16" s="14" t="str">
        <f>IF(INDEX(OpCode!$A$2:$J$257,HEX2DEC($A16)*16+HEX2DEC(I$1)+1,2)="",TRIM(INDEX(OpCode!$A$2:$J$257,HEX2DEC($A16)*16+HEX2DEC(I$1)+1,3)&amp;CHAR(10)&amp;INDEX(OpCode!$A$2:$J$257,HEX2DEC($A16)*16+HEX2DEC(I$1)+1,4))," ")</f>
        <v xml:space="preserve"> </v>
      </c>
      <c r="J16" s="14" t="str">
        <f>IF(INDEX(OpCode!$A$2:$J$257,HEX2DEC($A16)*16+HEX2DEC(J$1)+1,2)="",TRIM(INDEX(OpCode!$A$2:$J$257,HEX2DEC($A16)*16+HEX2DEC(J$1)+1,3)&amp;CHAR(10)&amp;INDEX(OpCode!$A$2:$J$257,HEX2DEC($A16)*16+HEX2DEC(J$1)+1,4))," ")</f>
        <v xml:space="preserve">INX
</v>
      </c>
      <c r="K16" s="14" t="str">
        <f>IF(INDEX(OpCode!$A$2:$J$257,HEX2DEC($A16)*16+HEX2DEC(K$1)+1,2)="",TRIM(INDEX(OpCode!$A$2:$J$257,HEX2DEC($A16)*16+HEX2DEC(K$1)+1,3)&amp;CHAR(10)&amp;INDEX(OpCode!$A$2:$J$257,HEX2DEC($A16)*16+HEX2DEC(K$1)+1,4))," ")</f>
        <v>SBC
imm</v>
      </c>
      <c r="L16" s="14" t="str">
        <f>IF(INDEX(OpCode!$A$2:$J$257,HEX2DEC($A16)*16+HEX2DEC(L$1)+1,2)="",TRIM(INDEX(OpCode!$A$2:$J$257,HEX2DEC($A16)*16+HEX2DEC(L$1)+1,3)&amp;CHAR(10)&amp;INDEX(OpCode!$A$2:$J$257,HEX2DEC($A16)*16+HEX2DEC(L$1)+1,4))," ")</f>
        <v xml:space="preserve">NOP
</v>
      </c>
      <c r="M16" s="14" t="str">
        <f>IF(INDEX(OpCode!$A$2:$J$257,HEX2DEC($A16)*16+HEX2DEC(M$1)+1,2)="",TRIM(INDEX(OpCode!$A$2:$J$257,HEX2DEC($A16)*16+HEX2DEC(M$1)+1,3)&amp;CHAR(10)&amp;INDEX(OpCode!$A$2:$J$257,HEX2DEC($A16)*16+HEX2DEC(M$1)+1,4))," ")</f>
        <v xml:space="preserve"> </v>
      </c>
      <c r="N16" s="14" t="str">
        <f>IF(INDEX(OpCode!$A$2:$J$257,HEX2DEC($A16)*16+HEX2DEC(N$1)+1,2)="",TRIM(INDEX(OpCode!$A$2:$J$257,HEX2DEC($A16)*16+HEX2DEC(N$1)+1,3)&amp;CHAR(10)&amp;INDEX(OpCode!$A$2:$J$257,HEX2DEC($A16)*16+HEX2DEC(N$1)+1,4))," ")</f>
        <v>CPX
abs</v>
      </c>
      <c r="O16" s="14" t="str">
        <f>IF(INDEX(OpCode!$A$2:$J$257,HEX2DEC($A16)*16+HEX2DEC(O$1)+1,2)="",TRIM(INDEX(OpCode!$A$2:$J$257,HEX2DEC($A16)*16+HEX2DEC(O$1)+1,3)&amp;CHAR(10)&amp;INDEX(OpCode!$A$2:$J$257,HEX2DEC($A16)*16+HEX2DEC(O$1)+1,4))," ")</f>
        <v>SBC
abs</v>
      </c>
      <c r="P16" s="14" t="str">
        <f>IF(INDEX(OpCode!$A$2:$J$257,HEX2DEC($A16)*16+HEX2DEC(P$1)+1,2)="",TRIM(INDEX(OpCode!$A$2:$J$257,HEX2DEC($A16)*16+HEX2DEC(P$1)+1,3)&amp;CHAR(10)&amp;INDEX(OpCode!$A$2:$J$257,HEX2DEC($A16)*16+HEX2DEC(P$1)+1,4))," ")</f>
        <v>INC
abs</v>
      </c>
      <c r="Q16" s="14" t="str">
        <f>IF(INDEX(OpCode!$A$2:$J$257,HEX2DEC($A16)*16+HEX2DEC(Q$1)+1,2)="",TRIM(INDEX(OpCode!$A$2:$J$257,HEX2DEC($A16)*16+HEX2DEC(Q$1)+1,3)&amp;CHAR(10)&amp;INDEX(OpCode!$A$2:$J$257,HEX2DEC($A16)*16+HEX2DEC(Q$1)+1,4))," ")</f>
        <v xml:space="preserve"> </v>
      </c>
    </row>
    <row r="17" spans="1:17" ht="27" x14ac:dyDescent="0.25">
      <c r="A17" s="16" t="s">
        <v>192</v>
      </c>
      <c r="B17" s="14" t="str">
        <f>IF(INDEX(OpCode!$A$2:$J$257,HEX2DEC($A17)*16+HEX2DEC(B$1)+1,2)="",TRIM(INDEX(OpCode!$A$2:$J$257,HEX2DEC($A17)*16+HEX2DEC(B$1)+1,3)&amp;CHAR(10)&amp;INDEX(OpCode!$A$2:$J$257,HEX2DEC($A17)*16+HEX2DEC(B$1)+1,4))," ")</f>
        <v>BEQ
rel8</v>
      </c>
      <c r="C17" s="14" t="str">
        <f>IF(INDEX(OpCode!$A$2:$J$257,HEX2DEC($A17)*16+HEX2DEC(C$1)+1,2)="",TRIM(INDEX(OpCode!$A$2:$J$257,HEX2DEC($A17)*16+HEX2DEC(C$1)+1,3)&amp;CHAR(10)&amp;INDEX(OpCode!$A$2:$J$257,HEX2DEC($A17)*16+HEX2DEC(C$1)+1,4))," ")</f>
        <v>SBC
(dp),Y</v>
      </c>
      <c r="D17" s="14" t="str">
        <f>IF(INDEX(OpCode!$A$2:$J$257,HEX2DEC($A17)*16+HEX2DEC(D$1)+1,2)="",TRIM(INDEX(OpCode!$A$2:$J$257,HEX2DEC($A17)*16+HEX2DEC(D$1)+1,3)&amp;CHAR(10)&amp;INDEX(OpCode!$A$2:$J$257,HEX2DEC($A17)*16+HEX2DEC(D$1)+1,4))," ")</f>
        <v xml:space="preserve"> </v>
      </c>
      <c r="E17" s="14" t="str">
        <f>IF(INDEX(OpCode!$A$2:$J$257,HEX2DEC($A17)*16+HEX2DEC(E$1)+1,2)="",TRIM(INDEX(OpCode!$A$2:$J$257,HEX2DEC($A17)*16+HEX2DEC(E$1)+1,3)&amp;CHAR(10)&amp;INDEX(OpCode!$A$2:$J$257,HEX2DEC($A17)*16+HEX2DEC(E$1)+1,4))," ")</f>
        <v xml:space="preserve"> </v>
      </c>
      <c r="F17" s="14" t="str">
        <f>IF(INDEX(OpCode!$A$2:$J$257,HEX2DEC($A17)*16+HEX2DEC(F$1)+1,2)="",TRIM(INDEX(OpCode!$A$2:$J$257,HEX2DEC($A17)*16+HEX2DEC(F$1)+1,3)&amp;CHAR(10)&amp;INDEX(OpCode!$A$2:$J$257,HEX2DEC($A17)*16+HEX2DEC(F$1)+1,4))," ")</f>
        <v xml:space="preserve"> </v>
      </c>
      <c r="G17" s="14" t="str">
        <f>IF(INDEX(OpCode!$A$2:$J$257,HEX2DEC($A17)*16+HEX2DEC(G$1)+1,2)="",TRIM(INDEX(OpCode!$A$2:$J$257,HEX2DEC($A17)*16+HEX2DEC(G$1)+1,3)&amp;CHAR(10)&amp;INDEX(OpCode!$A$2:$J$257,HEX2DEC($A17)*16+HEX2DEC(G$1)+1,4))," ")</f>
        <v>SBC
dp,X</v>
      </c>
      <c r="H17" s="14" t="str">
        <f>IF(INDEX(OpCode!$A$2:$J$257,HEX2DEC($A17)*16+HEX2DEC(H$1)+1,2)="",TRIM(INDEX(OpCode!$A$2:$J$257,HEX2DEC($A17)*16+HEX2DEC(H$1)+1,3)&amp;CHAR(10)&amp;INDEX(OpCode!$A$2:$J$257,HEX2DEC($A17)*16+HEX2DEC(H$1)+1,4))," ")</f>
        <v>INC
dp,X</v>
      </c>
      <c r="I17" s="14" t="str">
        <f>IF(INDEX(OpCode!$A$2:$J$257,HEX2DEC($A17)*16+HEX2DEC(I$1)+1,2)="",TRIM(INDEX(OpCode!$A$2:$J$257,HEX2DEC($A17)*16+HEX2DEC(I$1)+1,3)&amp;CHAR(10)&amp;INDEX(OpCode!$A$2:$J$257,HEX2DEC($A17)*16+HEX2DEC(I$1)+1,4))," ")</f>
        <v xml:space="preserve"> </v>
      </c>
      <c r="J17" s="14" t="str">
        <f>IF(INDEX(OpCode!$A$2:$J$257,HEX2DEC($A17)*16+HEX2DEC(J$1)+1,2)="",TRIM(INDEX(OpCode!$A$2:$J$257,HEX2DEC($A17)*16+HEX2DEC(J$1)+1,3)&amp;CHAR(10)&amp;INDEX(OpCode!$A$2:$J$257,HEX2DEC($A17)*16+HEX2DEC(J$1)+1,4))," ")</f>
        <v xml:space="preserve">SED
</v>
      </c>
      <c r="K17" s="14" t="str">
        <f>IF(INDEX(OpCode!$A$2:$J$257,HEX2DEC($A17)*16+HEX2DEC(K$1)+1,2)="",TRIM(INDEX(OpCode!$A$2:$J$257,HEX2DEC($A17)*16+HEX2DEC(K$1)+1,3)&amp;CHAR(10)&amp;INDEX(OpCode!$A$2:$J$257,HEX2DEC($A17)*16+HEX2DEC(K$1)+1,4))," ")</f>
        <v>SBC
abs,Y</v>
      </c>
      <c r="L17" s="14" t="str">
        <f>IF(INDEX(OpCode!$A$2:$J$257,HEX2DEC($A17)*16+HEX2DEC(L$1)+1,2)="",TRIM(INDEX(OpCode!$A$2:$J$257,HEX2DEC($A17)*16+HEX2DEC(L$1)+1,3)&amp;CHAR(10)&amp;INDEX(OpCode!$A$2:$J$257,HEX2DEC($A17)*16+HEX2DEC(L$1)+1,4))," ")</f>
        <v xml:space="preserve">PLX
</v>
      </c>
      <c r="M17" s="14" t="str">
        <f>IF(INDEX(OpCode!$A$2:$J$257,HEX2DEC($A17)*16+HEX2DEC(M$1)+1,2)="",TRIM(INDEX(OpCode!$A$2:$J$257,HEX2DEC($A17)*16+HEX2DEC(M$1)+1,3)&amp;CHAR(10)&amp;INDEX(OpCode!$A$2:$J$257,HEX2DEC($A17)*16+HEX2DEC(M$1)+1,4))," ")</f>
        <v xml:space="preserve"> </v>
      </c>
      <c r="N17" s="14" t="str">
        <f>IF(INDEX(OpCode!$A$2:$J$257,HEX2DEC($A17)*16+HEX2DEC(N$1)+1,2)="",TRIM(INDEX(OpCode!$A$2:$J$257,HEX2DEC($A17)*16+HEX2DEC(N$1)+1,3)&amp;CHAR(10)&amp;INDEX(OpCode!$A$2:$J$257,HEX2DEC($A17)*16+HEX2DEC(N$1)+1,4))," ")</f>
        <v>SBC
(dp)</v>
      </c>
      <c r="O17" s="14" t="str">
        <f>IF(INDEX(OpCode!$A$2:$J$257,HEX2DEC($A17)*16+HEX2DEC(O$1)+1,2)="",TRIM(INDEX(OpCode!$A$2:$J$257,HEX2DEC($A17)*16+HEX2DEC(O$1)+1,3)&amp;CHAR(10)&amp;INDEX(OpCode!$A$2:$J$257,HEX2DEC($A17)*16+HEX2DEC(O$1)+1,4))," ")</f>
        <v>SBC
abs,X</v>
      </c>
      <c r="P17" s="14" t="str">
        <f>IF(INDEX(OpCode!$A$2:$J$257,HEX2DEC($A17)*16+HEX2DEC(P$1)+1,2)="",TRIM(INDEX(OpCode!$A$2:$J$257,HEX2DEC($A17)*16+HEX2DEC(P$1)+1,3)&amp;CHAR(10)&amp;INDEX(OpCode!$A$2:$J$257,HEX2DEC($A17)*16+HEX2DEC(P$1)+1,4))," ")</f>
        <v>INC
abs,X</v>
      </c>
      <c r="Q17" s="14" t="str">
        <f>IF(INDEX(OpCode!$A$2:$J$257,HEX2DEC($A17)*16+HEX2DEC(Q$1)+1,2)="",TRIM(INDEX(OpCode!$A$2:$J$257,HEX2DEC($A17)*16+HEX2DEC(Q$1)+1,3)&amp;CHAR(10)&amp;INDEX(OpCode!$A$2:$J$257,HEX2DEC($A17)*16+HEX2DEC(Q$1)+1,4))," ")</f>
        <v xml:space="preserve"> </v>
      </c>
    </row>
    <row r="19" spans="1:17" s="17" customFormat="1" x14ac:dyDescent="0.25">
      <c r="A19" s="15" t="s">
        <v>204</v>
      </c>
      <c r="B19" s="16">
        <v>0</v>
      </c>
      <c r="C19" s="16">
        <v>1</v>
      </c>
      <c r="D19" s="16">
        <v>2</v>
      </c>
      <c r="E19" s="16">
        <v>3</v>
      </c>
      <c r="F19" s="16">
        <v>4</v>
      </c>
      <c r="G19" s="16">
        <v>5</v>
      </c>
      <c r="H19" s="16">
        <v>6</v>
      </c>
      <c r="I19" s="16">
        <v>7</v>
      </c>
      <c r="J19" s="16">
        <v>8</v>
      </c>
      <c r="K19" s="16">
        <v>9</v>
      </c>
      <c r="L19" s="16" t="s">
        <v>61</v>
      </c>
      <c r="M19" s="16" t="s">
        <v>62</v>
      </c>
      <c r="N19" s="16" t="s">
        <v>189</v>
      </c>
      <c r="O19" s="16" t="s">
        <v>190</v>
      </c>
      <c r="P19" s="16" t="s">
        <v>191</v>
      </c>
      <c r="Q19" s="16" t="s">
        <v>192</v>
      </c>
    </row>
    <row r="20" spans="1:17" ht="27" x14ac:dyDescent="0.25">
      <c r="A20" s="16">
        <v>0</v>
      </c>
      <c r="B20" s="14" t="str">
        <f>IF(INDEX(OpCode!$A$2:$J$257,HEX2DEC($A20)*16+HEX2DEC(B$1)+1,2)="R",TRIM(INDEX(OpCode!$A$2:$J$257,HEX2DEC($A20)*16+HEX2DEC(B$1)+1,3)&amp;CHAR(10)&amp;INDEX(OpCode!$A$2:$J$257,HEX2DEC($A20)*16+HEX2DEC(B$1)+1,4))," ")</f>
        <v xml:space="preserve"> </v>
      </c>
      <c r="C20" s="14" t="str">
        <f>IF(INDEX(OpCode!$A$2:$J$257,HEX2DEC($A20)*16+HEX2DEC(C$1)+1,2)="R",TRIM(INDEX(OpCode!$A$2:$J$257,HEX2DEC($A20)*16+HEX2DEC(C$1)+1,3)&amp;CHAR(10)&amp;INDEX(OpCode!$A$2:$J$257,HEX2DEC($A20)*16+HEX2DEC(C$1)+1,4))," ")</f>
        <v xml:space="preserve"> </v>
      </c>
      <c r="D20" s="14" t="str">
        <f>IF(INDEX(OpCode!$A$2:$J$257,HEX2DEC($A20)*16+HEX2DEC(D$1)+1,2)="R",TRIM(INDEX(OpCode!$A$2:$J$257,HEX2DEC($A20)*16+HEX2DEC(D$1)+1,3)&amp;CHAR(10)&amp;INDEX(OpCode!$A$2:$J$257,HEX2DEC($A20)*16+HEX2DEC(D$1)+1,4))," ")</f>
        <v xml:space="preserve"> </v>
      </c>
      <c r="E20" s="14" t="str">
        <f>IF(INDEX(OpCode!$A$2:$J$257,HEX2DEC($A20)*16+HEX2DEC(E$1)+1,2)="R",TRIM(INDEX(OpCode!$A$2:$J$257,HEX2DEC($A20)*16+HEX2DEC(E$1)+1,3)&amp;CHAR(10)&amp;INDEX(OpCode!$A$2:$J$257,HEX2DEC($A20)*16+HEX2DEC(E$1)+1,4))," ")</f>
        <v xml:space="preserve"> </v>
      </c>
      <c r="F20" s="14" t="str">
        <f>IF(INDEX(OpCode!$A$2:$J$257,HEX2DEC($A20)*16+HEX2DEC(F$1)+1,2)="R",TRIM(INDEX(OpCode!$A$2:$J$257,HEX2DEC($A20)*16+HEX2DEC(F$1)+1,3)&amp;CHAR(10)&amp;INDEX(OpCode!$A$2:$J$257,HEX2DEC($A20)*16+HEX2DEC(F$1)+1,4))," ")</f>
        <v xml:space="preserve"> </v>
      </c>
      <c r="G20" s="14" t="str">
        <f>IF(INDEX(OpCode!$A$2:$J$257,HEX2DEC($A20)*16+HEX2DEC(G$1)+1,2)="R",TRIM(INDEX(OpCode!$A$2:$J$257,HEX2DEC($A20)*16+HEX2DEC(G$1)+1,3)&amp;CHAR(10)&amp;INDEX(OpCode!$A$2:$J$257,HEX2DEC($A20)*16+HEX2DEC(G$1)+1,4))," ")</f>
        <v xml:space="preserve"> </v>
      </c>
      <c r="H20" s="14" t="str">
        <f>IF(INDEX(OpCode!$A$2:$J$257,HEX2DEC($A20)*16+HEX2DEC(H$1)+1,2)="R",TRIM(INDEX(OpCode!$A$2:$J$257,HEX2DEC($A20)*16+HEX2DEC(H$1)+1,3)&amp;CHAR(10)&amp;INDEX(OpCode!$A$2:$J$257,HEX2DEC($A20)*16+HEX2DEC(H$1)+1,4))," ")</f>
        <v xml:space="preserve"> </v>
      </c>
      <c r="I20" s="14" t="str">
        <f>IF(INDEX(OpCode!$A$2:$J$257,HEX2DEC($A20)*16+HEX2DEC(I$1)+1,2)="R",TRIM(INDEX(OpCode!$A$2:$J$257,HEX2DEC($A20)*16+HEX2DEC(I$1)+1,3)&amp;CHAR(10)&amp;INDEX(OpCode!$A$2:$J$257,HEX2DEC($A20)*16+HEX2DEC(I$1)+1,4))," ")</f>
        <v>RMB0
dp</v>
      </c>
      <c r="J20" s="14" t="str">
        <f>IF(INDEX(OpCode!$A$2:$J$257,HEX2DEC($A20)*16+HEX2DEC(J$1)+1,2)="R",TRIM(INDEX(OpCode!$A$2:$J$257,HEX2DEC($A20)*16+HEX2DEC(J$1)+1,3)&amp;CHAR(10)&amp;INDEX(OpCode!$A$2:$J$257,HEX2DEC($A20)*16+HEX2DEC(J$1)+1,4))," ")</f>
        <v xml:space="preserve"> </v>
      </c>
      <c r="K20" s="14" t="str">
        <f>IF(INDEX(OpCode!$A$2:$J$257,HEX2DEC($A20)*16+HEX2DEC(K$1)+1,2)="R",TRIM(INDEX(OpCode!$A$2:$J$257,HEX2DEC($A20)*16+HEX2DEC(K$1)+1,3)&amp;CHAR(10)&amp;INDEX(OpCode!$A$2:$J$257,HEX2DEC($A20)*16+HEX2DEC(K$1)+1,4))," ")</f>
        <v xml:space="preserve"> </v>
      </c>
      <c r="L20" s="14" t="str">
        <f>IF(INDEX(OpCode!$A$2:$J$257,HEX2DEC($A20)*16+HEX2DEC(L$1)+1,2)="R",TRIM(INDEX(OpCode!$A$2:$J$257,HEX2DEC($A20)*16+HEX2DEC(L$1)+1,3)&amp;CHAR(10)&amp;INDEX(OpCode!$A$2:$J$257,HEX2DEC($A20)*16+HEX2DEC(L$1)+1,4))," ")</f>
        <v xml:space="preserve"> </v>
      </c>
      <c r="M20" s="14" t="str">
        <f>IF(INDEX(OpCode!$A$2:$J$257,HEX2DEC($A20)*16+HEX2DEC(M$1)+1,2)="R",TRIM(INDEX(OpCode!$A$2:$J$257,HEX2DEC($A20)*16+HEX2DEC(M$1)+1,3)&amp;CHAR(10)&amp;INDEX(OpCode!$A$2:$J$257,HEX2DEC($A20)*16+HEX2DEC(M$1)+1,4))," ")</f>
        <v xml:space="preserve"> </v>
      </c>
      <c r="N20" s="14" t="str">
        <f>IF(INDEX(OpCode!$A$2:$J$257,HEX2DEC($A20)*16+HEX2DEC(N$1)+1,2)="R",TRIM(INDEX(OpCode!$A$2:$J$257,HEX2DEC($A20)*16+HEX2DEC(N$1)+1,3)&amp;CHAR(10)&amp;INDEX(OpCode!$A$2:$J$257,HEX2DEC($A20)*16+HEX2DEC(N$1)+1,4))," ")</f>
        <v xml:space="preserve"> </v>
      </c>
      <c r="O20" s="14" t="str">
        <f>IF(INDEX(OpCode!$A$2:$J$257,HEX2DEC($A20)*16+HEX2DEC(O$1)+1,2)="R",TRIM(INDEX(OpCode!$A$2:$J$257,HEX2DEC($A20)*16+HEX2DEC(O$1)+1,3)&amp;CHAR(10)&amp;INDEX(OpCode!$A$2:$J$257,HEX2DEC($A20)*16+HEX2DEC(O$1)+1,4))," ")</f>
        <v xml:space="preserve"> </v>
      </c>
      <c r="P20" s="14" t="str">
        <f>IF(INDEX(OpCode!$A$2:$J$257,HEX2DEC($A20)*16+HEX2DEC(P$1)+1,2)="R",TRIM(INDEX(OpCode!$A$2:$J$257,HEX2DEC($A20)*16+HEX2DEC(P$1)+1,3)&amp;CHAR(10)&amp;INDEX(OpCode!$A$2:$J$257,HEX2DEC($A20)*16+HEX2DEC(P$1)+1,4))," ")</f>
        <v xml:space="preserve"> </v>
      </c>
      <c r="Q20" s="14" t="str">
        <f>IF(INDEX(OpCode!$A$2:$J$257,HEX2DEC($A20)*16+HEX2DEC(Q$1)+1,2)="R",TRIM(INDEX(OpCode!$A$2:$J$257,HEX2DEC($A20)*16+HEX2DEC(Q$1)+1,3)&amp;CHAR(10)&amp;INDEX(OpCode!$A$2:$J$257,HEX2DEC($A20)*16+HEX2DEC(Q$1)+1,4))," ")</f>
        <v>BBR0
dp,rel8</v>
      </c>
    </row>
    <row r="21" spans="1:17" ht="27" x14ac:dyDescent="0.25">
      <c r="A21" s="16">
        <v>1</v>
      </c>
      <c r="B21" s="14" t="str">
        <f>IF(INDEX(OpCode!$A$2:$J$257,HEX2DEC($A21)*16+HEX2DEC(B$1)+1,2)="R",TRIM(INDEX(OpCode!$A$2:$J$257,HEX2DEC($A21)*16+HEX2DEC(B$1)+1,3)&amp;CHAR(10)&amp;INDEX(OpCode!$A$2:$J$257,HEX2DEC($A21)*16+HEX2DEC(B$1)+1,4))," ")</f>
        <v xml:space="preserve"> </v>
      </c>
      <c r="C21" s="14" t="str">
        <f>IF(INDEX(OpCode!$A$2:$J$257,HEX2DEC($A21)*16+HEX2DEC(C$1)+1,2)="R",TRIM(INDEX(OpCode!$A$2:$J$257,HEX2DEC($A21)*16+HEX2DEC(C$1)+1,3)&amp;CHAR(10)&amp;INDEX(OpCode!$A$2:$J$257,HEX2DEC($A21)*16+HEX2DEC(C$1)+1,4))," ")</f>
        <v xml:space="preserve"> </v>
      </c>
      <c r="D21" s="14" t="str">
        <f>IF(INDEX(OpCode!$A$2:$J$257,HEX2DEC($A21)*16+HEX2DEC(D$1)+1,2)="R",TRIM(INDEX(OpCode!$A$2:$J$257,HEX2DEC($A21)*16+HEX2DEC(D$1)+1,3)&amp;CHAR(10)&amp;INDEX(OpCode!$A$2:$J$257,HEX2DEC($A21)*16+HEX2DEC(D$1)+1,4))," ")</f>
        <v xml:space="preserve"> </v>
      </c>
      <c r="E21" s="14" t="str">
        <f>IF(INDEX(OpCode!$A$2:$J$257,HEX2DEC($A21)*16+HEX2DEC(E$1)+1,2)="R",TRIM(INDEX(OpCode!$A$2:$J$257,HEX2DEC($A21)*16+HEX2DEC(E$1)+1,3)&amp;CHAR(10)&amp;INDEX(OpCode!$A$2:$J$257,HEX2DEC($A21)*16+HEX2DEC(E$1)+1,4))," ")</f>
        <v xml:space="preserve"> </v>
      </c>
      <c r="F21" s="14" t="str">
        <f>IF(INDEX(OpCode!$A$2:$J$257,HEX2DEC($A21)*16+HEX2DEC(F$1)+1,2)="R",TRIM(INDEX(OpCode!$A$2:$J$257,HEX2DEC($A21)*16+HEX2DEC(F$1)+1,3)&amp;CHAR(10)&amp;INDEX(OpCode!$A$2:$J$257,HEX2DEC($A21)*16+HEX2DEC(F$1)+1,4))," ")</f>
        <v xml:space="preserve"> </v>
      </c>
      <c r="G21" s="14" t="str">
        <f>IF(INDEX(OpCode!$A$2:$J$257,HEX2DEC($A21)*16+HEX2DEC(G$1)+1,2)="R",TRIM(INDEX(OpCode!$A$2:$J$257,HEX2DEC($A21)*16+HEX2DEC(G$1)+1,3)&amp;CHAR(10)&amp;INDEX(OpCode!$A$2:$J$257,HEX2DEC($A21)*16+HEX2DEC(G$1)+1,4))," ")</f>
        <v xml:space="preserve"> </v>
      </c>
      <c r="H21" s="14" t="str">
        <f>IF(INDEX(OpCode!$A$2:$J$257,HEX2DEC($A21)*16+HEX2DEC(H$1)+1,2)="R",TRIM(INDEX(OpCode!$A$2:$J$257,HEX2DEC($A21)*16+HEX2DEC(H$1)+1,3)&amp;CHAR(10)&amp;INDEX(OpCode!$A$2:$J$257,HEX2DEC($A21)*16+HEX2DEC(H$1)+1,4))," ")</f>
        <v xml:space="preserve"> </v>
      </c>
      <c r="I21" s="14" t="str">
        <f>IF(INDEX(OpCode!$A$2:$J$257,HEX2DEC($A21)*16+HEX2DEC(I$1)+1,2)="R",TRIM(INDEX(OpCode!$A$2:$J$257,HEX2DEC($A21)*16+HEX2DEC(I$1)+1,3)&amp;CHAR(10)&amp;INDEX(OpCode!$A$2:$J$257,HEX2DEC($A21)*16+HEX2DEC(I$1)+1,4))," ")</f>
        <v>RMB1
dp</v>
      </c>
      <c r="J21" s="14" t="str">
        <f>IF(INDEX(OpCode!$A$2:$J$257,HEX2DEC($A21)*16+HEX2DEC(J$1)+1,2)="R",TRIM(INDEX(OpCode!$A$2:$J$257,HEX2DEC($A21)*16+HEX2DEC(J$1)+1,3)&amp;CHAR(10)&amp;INDEX(OpCode!$A$2:$J$257,HEX2DEC($A21)*16+HEX2DEC(J$1)+1,4))," ")</f>
        <v xml:space="preserve"> </v>
      </c>
      <c r="K21" s="14" t="str">
        <f>IF(INDEX(OpCode!$A$2:$J$257,HEX2DEC($A21)*16+HEX2DEC(K$1)+1,2)="R",TRIM(INDEX(OpCode!$A$2:$J$257,HEX2DEC($A21)*16+HEX2DEC(K$1)+1,3)&amp;CHAR(10)&amp;INDEX(OpCode!$A$2:$J$257,HEX2DEC($A21)*16+HEX2DEC(K$1)+1,4))," ")</f>
        <v xml:space="preserve"> </v>
      </c>
      <c r="L21" s="14" t="str">
        <f>IF(INDEX(OpCode!$A$2:$J$257,HEX2DEC($A21)*16+HEX2DEC(L$1)+1,2)="R",TRIM(INDEX(OpCode!$A$2:$J$257,HEX2DEC($A21)*16+HEX2DEC(L$1)+1,3)&amp;CHAR(10)&amp;INDEX(OpCode!$A$2:$J$257,HEX2DEC($A21)*16+HEX2DEC(L$1)+1,4))," ")</f>
        <v xml:space="preserve"> </v>
      </c>
      <c r="M21" s="14" t="str">
        <f>IF(INDEX(OpCode!$A$2:$J$257,HEX2DEC($A21)*16+HEX2DEC(M$1)+1,2)="R",TRIM(INDEX(OpCode!$A$2:$J$257,HEX2DEC($A21)*16+HEX2DEC(M$1)+1,3)&amp;CHAR(10)&amp;INDEX(OpCode!$A$2:$J$257,HEX2DEC($A21)*16+HEX2DEC(M$1)+1,4))," ")</f>
        <v xml:space="preserve"> </v>
      </c>
      <c r="N21" s="14" t="str">
        <f>IF(INDEX(OpCode!$A$2:$J$257,HEX2DEC($A21)*16+HEX2DEC(N$1)+1,2)="R",TRIM(INDEX(OpCode!$A$2:$J$257,HEX2DEC($A21)*16+HEX2DEC(N$1)+1,3)&amp;CHAR(10)&amp;INDEX(OpCode!$A$2:$J$257,HEX2DEC($A21)*16+HEX2DEC(N$1)+1,4))," ")</f>
        <v xml:space="preserve"> </v>
      </c>
      <c r="O21" s="14" t="str">
        <f>IF(INDEX(OpCode!$A$2:$J$257,HEX2DEC($A21)*16+HEX2DEC(O$1)+1,2)="R",TRIM(INDEX(OpCode!$A$2:$J$257,HEX2DEC($A21)*16+HEX2DEC(O$1)+1,3)&amp;CHAR(10)&amp;INDEX(OpCode!$A$2:$J$257,HEX2DEC($A21)*16+HEX2DEC(O$1)+1,4))," ")</f>
        <v xml:space="preserve"> </v>
      </c>
      <c r="P21" s="14" t="str">
        <f>IF(INDEX(OpCode!$A$2:$J$257,HEX2DEC($A21)*16+HEX2DEC(P$1)+1,2)="R",TRIM(INDEX(OpCode!$A$2:$J$257,HEX2DEC($A21)*16+HEX2DEC(P$1)+1,3)&amp;CHAR(10)&amp;INDEX(OpCode!$A$2:$J$257,HEX2DEC($A21)*16+HEX2DEC(P$1)+1,4))," ")</f>
        <v xml:space="preserve"> </v>
      </c>
      <c r="Q21" s="14" t="str">
        <f>IF(INDEX(OpCode!$A$2:$J$257,HEX2DEC($A21)*16+HEX2DEC(Q$1)+1,2)="R",TRIM(INDEX(OpCode!$A$2:$J$257,HEX2DEC($A21)*16+HEX2DEC(Q$1)+1,3)&amp;CHAR(10)&amp;INDEX(OpCode!$A$2:$J$257,HEX2DEC($A21)*16+HEX2DEC(Q$1)+1,4))," ")</f>
        <v>BBR1
dp,rel8</v>
      </c>
    </row>
    <row r="22" spans="1:17" ht="27" x14ac:dyDescent="0.25">
      <c r="A22" s="16">
        <v>2</v>
      </c>
      <c r="B22" s="14" t="str">
        <f>IF(INDEX(OpCode!$A$2:$J$257,HEX2DEC($A22)*16+HEX2DEC(B$1)+1,2)="R",TRIM(INDEX(OpCode!$A$2:$J$257,HEX2DEC($A22)*16+HEX2DEC(B$1)+1,3)&amp;CHAR(10)&amp;INDEX(OpCode!$A$2:$J$257,HEX2DEC($A22)*16+HEX2DEC(B$1)+1,4))," ")</f>
        <v xml:space="preserve"> </v>
      </c>
      <c r="C22" s="14" t="str">
        <f>IF(INDEX(OpCode!$A$2:$J$257,HEX2DEC($A22)*16+HEX2DEC(C$1)+1,2)="R",TRIM(INDEX(OpCode!$A$2:$J$257,HEX2DEC($A22)*16+HEX2DEC(C$1)+1,3)&amp;CHAR(10)&amp;INDEX(OpCode!$A$2:$J$257,HEX2DEC($A22)*16+HEX2DEC(C$1)+1,4))," ")</f>
        <v xml:space="preserve"> </v>
      </c>
      <c r="D22" s="14" t="str">
        <f>IF(INDEX(OpCode!$A$2:$J$257,HEX2DEC($A22)*16+HEX2DEC(D$1)+1,2)="R",TRIM(INDEX(OpCode!$A$2:$J$257,HEX2DEC($A22)*16+HEX2DEC(D$1)+1,3)&amp;CHAR(10)&amp;INDEX(OpCode!$A$2:$J$257,HEX2DEC($A22)*16+HEX2DEC(D$1)+1,4))," ")</f>
        <v xml:space="preserve"> </v>
      </c>
      <c r="E22" s="14" t="str">
        <f>IF(INDEX(OpCode!$A$2:$J$257,HEX2DEC($A22)*16+HEX2DEC(E$1)+1,2)="R",TRIM(INDEX(OpCode!$A$2:$J$257,HEX2DEC($A22)*16+HEX2DEC(E$1)+1,3)&amp;CHAR(10)&amp;INDEX(OpCode!$A$2:$J$257,HEX2DEC($A22)*16+HEX2DEC(E$1)+1,4))," ")</f>
        <v xml:space="preserve"> </v>
      </c>
      <c r="F22" s="14" t="str">
        <f>IF(INDEX(OpCode!$A$2:$J$257,HEX2DEC($A22)*16+HEX2DEC(F$1)+1,2)="R",TRIM(INDEX(OpCode!$A$2:$J$257,HEX2DEC($A22)*16+HEX2DEC(F$1)+1,3)&amp;CHAR(10)&amp;INDEX(OpCode!$A$2:$J$257,HEX2DEC($A22)*16+HEX2DEC(F$1)+1,4))," ")</f>
        <v xml:space="preserve"> </v>
      </c>
      <c r="G22" s="14" t="str">
        <f>IF(INDEX(OpCode!$A$2:$J$257,HEX2DEC($A22)*16+HEX2DEC(G$1)+1,2)="R",TRIM(INDEX(OpCode!$A$2:$J$257,HEX2DEC($A22)*16+HEX2DEC(G$1)+1,3)&amp;CHAR(10)&amp;INDEX(OpCode!$A$2:$J$257,HEX2DEC($A22)*16+HEX2DEC(G$1)+1,4))," ")</f>
        <v xml:space="preserve"> </v>
      </c>
      <c r="H22" s="14" t="str">
        <f>IF(INDEX(OpCode!$A$2:$J$257,HEX2DEC($A22)*16+HEX2DEC(H$1)+1,2)="R",TRIM(INDEX(OpCode!$A$2:$J$257,HEX2DEC($A22)*16+HEX2DEC(H$1)+1,3)&amp;CHAR(10)&amp;INDEX(OpCode!$A$2:$J$257,HEX2DEC($A22)*16+HEX2DEC(H$1)+1,4))," ")</f>
        <v xml:space="preserve"> </v>
      </c>
      <c r="I22" s="14" t="str">
        <f>IF(INDEX(OpCode!$A$2:$J$257,HEX2DEC($A22)*16+HEX2DEC(I$1)+1,2)="R",TRIM(INDEX(OpCode!$A$2:$J$257,HEX2DEC($A22)*16+HEX2DEC(I$1)+1,3)&amp;CHAR(10)&amp;INDEX(OpCode!$A$2:$J$257,HEX2DEC($A22)*16+HEX2DEC(I$1)+1,4))," ")</f>
        <v>RMB2
dp</v>
      </c>
      <c r="J22" s="14" t="str">
        <f>IF(INDEX(OpCode!$A$2:$J$257,HEX2DEC($A22)*16+HEX2DEC(J$1)+1,2)="R",TRIM(INDEX(OpCode!$A$2:$J$257,HEX2DEC($A22)*16+HEX2DEC(J$1)+1,3)&amp;CHAR(10)&amp;INDEX(OpCode!$A$2:$J$257,HEX2DEC($A22)*16+HEX2DEC(J$1)+1,4))," ")</f>
        <v xml:space="preserve"> </v>
      </c>
      <c r="K22" s="14" t="str">
        <f>IF(INDEX(OpCode!$A$2:$J$257,HEX2DEC($A22)*16+HEX2DEC(K$1)+1,2)="R",TRIM(INDEX(OpCode!$A$2:$J$257,HEX2DEC($A22)*16+HEX2DEC(K$1)+1,3)&amp;CHAR(10)&amp;INDEX(OpCode!$A$2:$J$257,HEX2DEC($A22)*16+HEX2DEC(K$1)+1,4))," ")</f>
        <v xml:space="preserve"> </v>
      </c>
      <c r="L22" s="14" t="str">
        <f>IF(INDEX(OpCode!$A$2:$J$257,HEX2DEC($A22)*16+HEX2DEC(L$1)+1,2)="R",TRIM(INDEX(OpCode!$A$2:$J$257,HEX2DEC($A22)*16+HEX2DEC(L$1)+1,3)&amp;CHAR(10)&amp;INDEX(OpCode!$A$2:$J$257,HEX2DEC($A22)*16+HEX2DEC(L$1)+1,4))," ")</f>
        <v xml:space="preserve"> </v>
      </c>
      <c r="M22" s="14" t="str">
        <f>IF(INDEX(OpCode!$A$2:$J$257,HEX2DEC($A22)*16+HEX2DEC(M$1)+1,2)="R",TRIM(INDEX(OpCode!$A$2:$J$257,HEX2DEC($A22)*16+HEX2DEC(M$1)+1,3)&amp;CHAR(10)&amp;INDEX(OpCode!$A$2:$J$257,HEX2DEC($A22)*16+HEX2DEC(M$1)+1,4))," ")</f>
        <v xml:space="preserve"> </v>
      </c>
      <c r="N22" s="14" t="str">
        <f>IF(INDEX(OpCode!$A$2:$J$257,HEX2DEC($A22)*16+HEX2DEC(N$1)+1,2)="R",TRIM(INDEX(OpCode!$A$2:$J$257,HEX2DEC($A22)*16+HEX2DEC(N$1)+1,3)&amp;CHAR(10)&amp;INDEX(OpCode!$A$2:$J$257,HEX2DEC($A22)*16+HEX2DEC(N$1)+1,4))," ")</f>
        <v xml:space="preserve"> </v>
      </c>
      <c r="O22" s="14" t="str">
        <f>IF(INDEX(OpCode!$A$2:$J$257,HEX2DEC($A22)*16+HEX2DEC(O$1)+1,2)="R",TRIM(INDEX(OpCode!$A$2:$J$257,HEX2DEC($A22)*16+HEX2DEC(O$1)+1,3)&amp;CHAR(10)&amp;INDEX(OpCode!$A$2:$J$257,HEX2DEC($A22)*16+HEX2DEC(O$1)+1,4))," ")</f>
        <v xml:space="preserve"> </v>
      </c>
      <c r="P22" s="14" t="str">
        <f>IF(INDEX(OpCode!$A$2:$J$257,HEX2DEC($A22)*16+HEX2DEC(P$1)+1,2)="R",TRIM(INDEX(OpCode!$A$2:$J$257,HEX2DEC($A22)*16+HEX2DEC(P$1)+1,3)&amp;CHAR(10)&amp;INDEX(OpCode!$A$2:$J$257,HEX2DEC($A22)*16+HEX2DEC(P$1)+1,4))," ")</f>
        <v xml:space="preserve"> </v>
      </c>
      <c r="Q22" s="14" t="str">
        <f>IF(INDEX(OpCode!$A$2:$J$257,HEX2DEC($A22)*16+HEX2DEC(Q$1)+1,2)="R",TRIM(INDEX(OpCode!$A$2:$J$257,HEX2DEC($A22)*16+HEX2DEC(Q$1)+1,3)&amp;CHAR(10)&amp;INDEX(OpCode!$A$2:$J$257,HEX2DEC($A22)*16+HEX2DEC(Q$1)+1,4))," ")</f>
        <v>BBR2
dp,rel8</v>
      </c>
    </row>
    <row r="23" spans="1:17" ht="27" x14ac:dyDescent="0.25">
      <c r="A23" s="16">
        <v>3</v>
      </c>
      <c r="B23" s="14" t="str">
        <f>IF(INDEX(OpCode!$A$2:$J$257,HEX2DEC($A23)*16+HEX2DEC(B$1)+1,2)="R",TRIM(INDEX(OpCode!$A$2:$J$257,HEX2DEC($A23)*16+HEX2DEC(B$1)+1,3)&amp;CHAR(10)&amp;INDEX(OpCode!$A$2:$J$257,HEX2DEC($A23)*16+HEX2DEC(B$1)+1,4))," ")</f>
        <v xml:space="preserve"> </v>
      </c>
      <c r="C23" s="14" t="str">
        <f>IF(INDEX(OpCode!$A$2:$J$257,HEX2DEC($A23)*16+HEX2DEC(C$1)+1,2)="R",TRIM(INDEX(OpCode!$A$2:$J$257,HEX2DEC($A23)*16+HEX2DEC(C$1)+1,3)&amp;CHAR(10)&amp;INDEX(OpCode!$A$2:$J$257,HEX2DEC($A23)*16+HEX2DEC(C$1)+1,4))," ")</f>
        <v xml:space="preserve"> </v>
      </c>
      <c r="D23" s="14" t="str">
        <f>IF(INDEX(OpCode!$A$2:$J$257,HEX2DEC($A23)*16+HEX2DEC(D$1)+1,2)="R",TRIM(INDEX(OpCode!$A$2:$J$257,HEX2DEC($A23)*16+HEX2DEC(D$1)+1,3)&amp;CHAR(10)&amp;INDEX(OpCode!$A$2:$J$257,HEX2DEC($A23)*16+HEX2DEC(D$1)+1,4))," ")</f>
        <v xml:space="preserve"> </v>
      </c>
      <c r="E23" s="14" t="str">
        <f>IF(INDEX(OpCode!$A$2:$J$257,HEX2DEC($A23)*16+HEX2DEC(E$1)+1,2)="R",TRIM(INDEX(OpCode!$A$2:$J$257,HEX2DEC($A23)*16+HEX2DEC(E$1)+1,3)&amp;CHAR(10)&amp;INDEX(OpCode!$A$2:$J$257,HEX2DEC($A23)*16+HEX2DEC(E$1)+1,4))," ")</f>
        <v xml:space="preserve"> </v>
      </c>
      <c r="F23" s="14" t="str">
        <f>IF(INDEX(OpCode!$A$2:$J$257,HEX2DEC($A23)*16+HEX2DEC(F$1)+1,2)="R",TRIM(INDEX(OpCode!$A$2:$J$257,HEX2DEC($A23)*16+HEX2DEC(F$1)+1,3)&amp;CHAR(10)&amp;INDEX(OpCode!$A$2:$J$257,HEX2DEC($A23)*16+HEX2DEC(F$1)+1,4))," ")</f>
        <v xml:space="preserve"> </v>
      </c>
      <c r="G23" s="14" t="str">
        <f>IF(INDEX(OpCode!$A$2:$J$257,HEX2DEC($A23)*16+HEX2DEC(G$1)+1,2)="R",TRIM(INDEX(OpCode!$A$2:$J$257,HEX2DEC($A23)*16+HEX2DEC(G$1)+1,3)&amp;CHAR(10)&amp;INDEX(OpCode!$A$2:$J$257,HEX2DEC($A23)*16+HEX2DEC(G$1)+1,4))," ")</f>
        <v xml:space="preserve"> </v>
      </c>
      <c r="H23" s="14" t="str">
        <f>IF(INDEX(OpCode!$A$2:$J$257,HEX2DEC($A23)*16+HEX2DEC(H$1)+1,2)="R",TRIM(INDEX(OpCode!$A$2:$J$257,HEX2DEC($A23)*16+HEX2DEC(H$1)+1,3)&amp;CHAR(10)&amp;INDEX(OpCode!$A$2:$J$257,HEX2DEC($A23)*16+HEX2DEC(H$1)+1,4))," ")</f>
        <v xml:space="preserve"> </v>
      </c>
      <c r="I23" s="14" t="str">
        <f>IF(INDEX(OpCode!$A$2:$J$257,HEX2DEC($A23)*16+HEX2DEC(I$1)+1,2)="R",TRIM(INDEX(OpCode!$A$2:$J$257,HEX2DEC($A23)*16+HEX2DEC(I$1)+1,3)&amp;CHAR(10)&amp;INDEX(OpCode!$A$2:$J$257,HEX2DEC($A23)*16+HEX2DEC(I$1)+1,4))," ")</f>
        <v>RMB3
dp</v>
      </c>
      <c r="J23" s="14" t="str">
        <f>IF(INDEX(OpCode!$A$2:$J$257,HEX2DEC($A23)*16+HEX2DEC(J$1)+1,2)="R",TRIM(INDEX(OpCode!$A$2:$J$257,HEX2DEC($A23)*16+HEX2DEC(J$1)+1,3)&amp;CHAR(10)&amp;INDEX(OpCode!$A$2:$J$257,HEX2DEC($A23)*16+HEX2DEC(J$1)+1,4))," ")</f>
        <v xml:space="preserve"> </v>
      </c>
      <c r="K23" s="14" t="str">
        <f>IF(INDEX(OpCode!$A$2:$J$257,HEX2DEC($A23)*16+HEX2DEC(K$1)+1,2)="R",TRIM(INDEX(OpCode!$A$2:$J$257,HEX2DEC($A23)*16+HEX2DEC(K$1)+1,3)&amp;CHAR(10)&amp;INDEX(OpCode!$A$2:$J$257,HEX2DEC($A23)*16+HEX2DEC(K$1)+1,4))," ")</f>
        <v xml:space="preserve"> </v>
      </c>
      <c r="L23" s="14" t="str">
        <f>IF(INDEX(OpCode!$A$2:$J$257,HEX2DEC($A23)*16+HEX2DEC(L$1)+1,2)="R",TRIM(INDEX(OpCode!$A$2:$J$257,HEX2DEC($A23)*16+HEX2DEC(L$1)+1,3)&amp;CHAR(10)&amp;INDEX(OpCode!$A$2:$J$257,HEX2DEC($A23)*16+HEX2DEC(L$1)+1,4))," ")</f>
        <v xml:space="preserve"> </v>
      </c>
      <c r="M23" s="14" t="str">
        <f>IF(INDEX(OpCode!$A$2:$J$257,HEX2DEC($A23)*16+HEX2DEC(M$1)+1,2)="R",TRIM(INDEX(OpCode!$A$2:$J$257,HEX2DEC($A23)*16+HEX2DEC(M$1)+1,3)&amp;CHAR(10)&amp;INDEX(OpCode!$A$2:$J$257,HEX2DEC($A23)*16+HEX2DEC(M$1)+1,4))," ")</f>
        <v xml:space="preserve"> </v>
      </c>
      <c r="N23" s="14" t="str">
        <f>IF(INDEX(OpCode!$A$2:$J$257,HEX2DEC($A23)*16+HEX2DEC(N$1)+1,2)="R",TRIM(INDEX(OpCode!$A$2:$J$257,HEX2DEC($A23)*16+HEX2DEC(N$1)+1,3)&amp;CHAR(10)&amp;INDEX(OpCode!$A$2:$J$257,HEX2DEC($A23)*16+HEX2DEC(N$1)+1,4))," ")</f>
        <v xml:space="preserve"> </v>
      </c>
      <c r="O23" s="14" t="str">
        <f>IF(INDEX(OpCode!$A$2:$J$257,HEX2DEC($A23)*16+HEX2DEC(O$1)+1,2)="R",TRIM(INDEX(OpCode!$A$2:$J$257,HEX2DEC($A23)*16+HEX2DEC(O$1)+1,3)&amp;CHAR(10)&amp;INDEX(OpCode!$A$2:$J$257,HEX2DEC($A23)*16+HEX2DEC(O$1)+1,4))," ")</f>
        <v xml:space="preserve"> </v>
      </c>
      <c r="P23" s="14" t="str">
        <f>IF(INDEX(OpCode!$A$2:$J$257,HEX2DEC($A23)*16+HEX2DEC(P$1)+1,2)="R",TRIM(INDEX(OpCode!$A$2:$J$257,HEX2DEC($A23)*16+HEX2DEC(P$1)+1,3)&amp;CHAR(10)&amp;INDEX(OpCode!$A$2:$J$257,HEX2DEC($A23)*16+HEX2DEC(P$1)+1,4))," ")</f>
        <v xml:space="preserve"> </v>
      </c>
      <c r="Q23" s="14" t="str">
        <f>IF(INDEX(OpCode!$A$2:$J$257,HEX2DEC($A23)*16+HEX2DEC(Q$1)+1,2)="R",TRIM(INDEX(OpCode!$A$2:$J$257,HEX2DEC($A23)*16+HEX2DEC(Q$1)+1,3)&amp;CHAR(10)&amp;INDEX(OpCode!$A$2:$J$257,HEX2DEC($A23)*16+HEX2DEC(Q$1)+1,4))," ")</f>
        <v>BBR3
dp,rel8</v>
      </c>
    </row>
    <row r="24" spans="1:17" ht="27" x14ac:dyDescent="0.25">
      <c r="A24" s="16">
        <v>4</v>
      </c>
      <c r="B24" s="14" t="str">
        <f>IF(INDEX(OpCode!$A$2:$J$257,HEX2DEC($A24)*16+HEX2DEC(B$1)+1,2)="R",TRIM(INDEX(OpCode!$A$2:$J$257,HEX2DEC($A24)*16+HEX2DEC(B$1)+1,3)&amp;CHAR(10)&amp;INDEX(OpCode!$A$2:$J$257,HEX2DEC($A24)*16+HEX2DEC(B$1)+1,4))," ")</f>
        <v xml:space="preserve"> </v>
      </c>
      <c r="C24" s="14" t="str">
        <f>IF(INDEX(OpCode!$A$2:$J$257,HEX2DEC($A24)*16+HEX2DEC(C$1)+1,2)="R",TRIM(INDEX(OpCode!$A$2:$J$257,HEX2DEC($A24)*16+HEX2DEC(C$1)+1,3)&amp;CHAR(10)&amp;INDEX(OpCode!$A$2:$J$257,HEX2DEC($A24)*16+HEX2DEC(C$1)+1,4))," ")</f>
        <v xml:space="preserve"> </v>
      </c>
      <c r="D24" s="14" t="str">
        <f>IF(INDEX(OpCode!$A$2:$J$257,HEX2DEC($A24)*16+HEX2DEC(D$1)+1,2)="R",TRIM(INDEX(OpCode!$A$2:$J$257,HEX2DEC($A24)*16+HEX2DEC(D$1)+1,3)&amp;CHAR(10)&amp;INDEX(OpCode!$A$2:$J$257,HEX2DEC($A24)*16+HEX2DEC(D$1)+1,4))," ")</f>
        <v xml:space="preserve"> </v>
      </c>
      <c r="E24" s="14" t="str">
        <f>IF(INDEX(OpCode!$A$2:$J$257,HEX2DEC($A24)*16+HEX2DEC(E$1)+1,2)="R",TRIM(INDEX(OpCode!$A$2:$J$257,HEX2DEC($A24)*16+HEX2DEC(E$1)+1,3)&amp;CHAR(10)&amp;INDEX(OpCode!$A$2:$J$257,HEX2DEC($A24)*16+HEX2DEC(E$1)+1,4))," ")</f>
        <v xml:space="preserve"> </v>
      </c>
      <c r="F24" s="14" t="str">
        <f>IF(INDEX(OpCode!$A$2:$J$257,HEX2DEC($A24)*16+HEX2DEC(F$1)+1,2)="R",TRIM(INDEX(OpCode!$A$2:$J$257,HEX2DEC($A24)*16+HEX2DEC(F$1)+1,3)&amp;CHAR(10)&amp;INDEX(OpCode!$A$2:$J$257,HEX2DEC($A24)*16+HEX2DEC(F$1)+1,4))," ")</f>
        <v xml:space="preserve"> </v>
      </c>
      <c r="G24" s="14" t="str">
        <f>IF(INDEX(OpCode!$A$2:$J$257,HEX2DEC($A24)*16+HEX2DEC(G$1)+1,2)="R",TRIM(INDEX(OpCode!$A$2:$J$257,HEX2DEC($A24)*16+HEX2DEC(G$1)+1,3)&amp;CHAR(10)&amp;INDEX(OpCode!$A$2:$J$257,HEX2DEC($A24)*16+HEX2DEC(G$1)+1,4))," ")</f>
        <v xml:space="preserve"> </v>
      </c>
      <c r="H24" s="14" t="str">
        <f>IF(INDEX(OpCode!$A$2:$J$257,HEX2DEC($A24)*16+HEX2DEC(H$1)+1,2)="R",TRIM(INDEX(OpCode!$A$2:$J$257,HEX2DEC($A24)*16+HEX2DEC(H$1)+1,3)&amp;CHAR(10)&amp;INDEX(OpCode!$A$2:$J$257,HEX2DEC($A24)*16+HEX2DEC(H$1)+1,4))," ")</f>
        <v xml:space="preserve"> </v>
      </c>
      <c r="I24" s="14" t="str">
        <f>IF(INDEX(OpCode!$A$2:$J$257,HEX2DEC($A24)*16+HEX2DEC(I$1)+1,2)="R",TRIM(INDEX(OpCode!$A$2:$J$257,HEX2DEC($A24)*16+HEX2DEC(I$1)+1,3)&amp;CHAR(10)&amp;INDEX(OpCode!$A$2:$J$257,HEX2DEC($A24)*16+HEX2DEC(I$1)+1,4))," ")</f>
        <v>RMB4
dp</v>
      </c>
      <c r="J24" s="14" t="str">
        <f>IF(INDEX(OpCode!$A$2:$J$257,HEX2DEC($A24)*16+HEX2DEC(J$1)+1,2)="R",TRIM(INDEX(OpCode!$A$2:$J$257,HEX2DEC($A24)*16+HEX2DEC(J$1)+1,3)&amp;CHAR(10)&amp;INDEX(OpCode!$A$2:$J$257,HEX2DEC($A24)*16+HEX2DEC(J$1)+1,4))," ")</f>
        <v xml:space="preserve"> </v>
      </c>
      <c r="K24" s="14" t="str">
        <f>IF(INDEX(OpCode!$A$2:$J$257,HEX2DEC($A24)*16+HEX2DEC(K$1)+1,2)="R",TRIM(INDEX(OpCode!$A$2:$J$257,HEX2DEC($A24)*16+HEX2DEC(K$1)+1,3)&amp;CHAR(10)&amp;INDEX(OpCode!$A$2:$J$257,HEX2DEC($A24)*16+HEX2DEC(K$1)+1,4))," ")</f>
        <v xml:space="preserve"> </v>
      </c>
      <c r="L24" s="14" t="str">
        <f>IF(INDEX(OpCode!$A$2:$J$257,HEX2DEC($A24)*16+HEX2DEC(L$1)+1,2)="R",TRIM(INDEX(OpCode!$A$2:$J$257,HEX2DEC($A24)*16+HEX2DEC(L$1)+1,3)&amp;CHAR(10)&amp;INDEX(OpCode!$A$2:$J$257,HEX2DEC($A24)*16+HEX2DEC(L$1)+1,4))," ")</f>
        <v xml:space="preserve"> </v>
      </c>
      <c r="M24" s="14" t="str">
        <f>IF(INDEX(OpCode!$A$2:$J$257,HEX2DEC($A24)*16+HEX2DEC(M$1)+1,2)="R",TRIM(INDEX(OpCode!$A$2:$J$257,HEX2DEC($A24)*16+HEX2DEC(M$1)+1,3)&amp;CHAR(10)&amp;INDEX(OpCode!$A$2:$J$257,HEX2DEC($A24)*16+HEX2DEC(M$1)+1,4))," ")</f>
        <v xml:space="preserve"> </v>
      </c>
      <c r="N24" s="14" t="str">
        <f>IF(INDEX(OpCode!$A$2:$J$257,HEX2DEC($A24)*16+HEX2DEC(N$1)+1,2)="R",TRIM(INDEX(OpCode!$A$2:$J$257,HEX2DEC($A24)*16+HEX2DEC(N$1)+1,3)&amp;CHAR(10)&amp;INDEX(OpCode!$A$2:$J$257,HEX2DEC($A24)*16+HEX2DEC(N$1)+1,4))," ")</f>
        <v xml:space="preserve"> </v>
      </c>
      <c r="O24" s="14" t="str">
        <f>IF(INDEX(OpCode!$A$2:$J$257,HEX2DEC($A24)*16+HEX2DEC(O$1)+1,2)="R",TRIM(INDEX(OpCode!$A$2:$J$257,HEX2DEC($A24)*16+HEX2DEC(O$1)+1,3)&amp;CHAR(10)&amp;INDEX(OpCode!$A$2:$J$257,HEX2DEC($A24)*16+HEX2DEC(O$1)+1,4))," ")</f>
        <v xml:space="preserve"> </v>
      </c>
      <c r="P24" s="14" t="str">
        <f>IF(INDEX(OpCode!$A$2:$J$257,HEX2DEC($A24)*16+HEX2DEC(P$1)+1,2)="R",TRIM(INDEX(OpCode!$A$2:$J$257,HEX2DEC($A24)*16+HEX2DEC(P$1)+1,3)&amp;CHAR(10)&amp;INDEX(OpCode!$A$2:$J$257,HEX2DEC($A24)*16+HEX2DEC(P$1)+1,4))," ")</f>
        <v xml:space="preserve"> </v>
      </c>
      <c r="Q24" s="14" t="str">
        <f>IF(INDEX(OpCode!$A$2:$J$257,HEX2DEC($A24)*16+HEX2DEC(Q$1)+1,2)="R",TRIM(INDEX(OpCode!$A$2:$J$257,HEX2DEC($A24)*16+HEX2DEC(Q$1)+1,3)&amp;CHAR(10)&amp;INDEX(OpCode!$A$2:$J$257,HEX2DEC($A24)*16+HEX2DEC(Q$1)+1,4))," ")</f>
        <v>BBR4
dp,rel8</v>
      </c>
    </row>
    <row r="25" spans="1:17" ht="27" x14ac:dyDescent="0.25">
      <c r="A25" s="16">
        <v>5</v>
      </c>
      <c r="B25" s="14" t="str">
        <f>IF(INDEX(OpCode!$A$2:$J$257,HEX2DEC($A25)*16+HEX2DEC(B$1)+1,2)="R",TRIM(INDEX(OpCode!$A$2:$J$257,HEX2DEC($A25)*16+HEX2DEC(B$1)+1,3)&amp;CHAR(10)&amp;INDEX(OpCode!$A$2:$J$257,HEX2DEC($A25)*16+HEX2DEC(B$1)+1,4))," ")</f>
        <v xml:space="preserve"> </v>
      </c>
      <c r="C25" s="14" t="str">
        <f>IF(INDEX(OpCode!$A$2:$J$257,HEX2DEC($A25)*16+HEX2DEC(C$1)+1,2)="R",TRIM(INDEX(OpCode!$A$2:$J$257,HEX2DEC($A25)*16+HEX2DEC(C$1)+1,3)&amp;CHAR(10)&amp;INDEX(OpCode!$A$2:$J$257,HEX2DEC($A25)*16+HEX2DEC(C$1)+1,4))," ")</f>
        <v xml:space="preserve"> </v>
      </c>
      <c r="D25" s="14" t="str">
        <f>IF(INDEX(OpCode!$A$2:$J$257,HEX2DEC($A25)*16+HEX2DEC(D$1)+1,2)="R",TRIM(INDEX(OpCode!$A$2:$J$257,HEX2DEC($A25)*16+HEX2DEC(D$1)+1,3)&amp;CHAR(10)&amp;INDEX(OpCode!$A$2:$J$257,HEX2DEC($A25)*16+HEX2DEC(D$1)+1,4))," ")</f>
        <v xml:space="preserve"> </v>
      </c>
      <c r="E25" s="14" t="str">
        <f>IF(INDEX(OpCode!$A$2:$J$257,HEX2DEC($A25)*16+HEX2DEC(E$1)+1,2)="R",TRIM(INDEX(OpCode!$A$2:$J$257,HEX2DEC($A25)*16+HEX2DEC(E$1)+1,3)&amp;CHAR(10)&amp;INDEX(OpCode!$A$2:$J$257,HEX2DEC($A25)*16+HEX2DEC(E$1)+1,4))," ")</f>
        <v xml:space="preserve"> </v>
      </c>
      <c r="F25" s="14" t="str">
        <f>IF(INDEX(OpCode!$A$2:$J$257,HEX2DEC($A25)*16+HEX2DEC(F$1)+1,2)="R",TRIM(INDEX(OpCode!$A$2:$J$257,HEX2DEC($A25)*16+HEX2DEC(F$1)+1,3)&amp;CHAR(10)&amp;INDEX(OpCode!$A$2:$J$257,HEX2DEC($A25)*16+HEX2DEC(F$1)+1,4))," ")</f>
        <v xml:space="preserve"> </v>
      </c>
      <c r="G25" s="14" t="str">
        <f>IF(INDEX(OpCode!$A$2:$J$257,HEX2DEC($A25)*16+HEX2DEC(G$1)+1,2)="R",TRIM(INDEX(OpCode!$A$2:$J$257,HEX2DEC($A25)*16+HEX2DEC(G$1)+1,3)&amp;CHAR(10)&amp;INDEX(OpCode!$A$2:$J$257,HEX2DEC($A25)*16+HEX2DEC(G$1)+1,4))," ")</f>
        <v xml:space="preserve"> </v>
      </c>
      <c r="H25" s="14" t="str">
        <f>IF(INDEX(OpCode!$A$2:$J$257,HEX2DEC($A25)*16+HEX2DEC(H$1)+1,2)="R",TRIM(INDEX(OpCode!$A$2:$J$257,HEX2DEC($A25)*16+HEX2DEC(H$1)+1,3)&amp;CHAR(10)&amp;INDEX(OpCode!$A$2:$J$257,HEX2DEC($A25)*16+HEX2DEC(H$1)+1,4))," ")</f>
        <v xml:space="preserve"> </v>
      </c>
      <c r="I25" s="14" t="str">
        <f>IF(INDEX(OpCode!$A$2:$J$257,HEX2DEC($A25)*16+HEX2DEC(I$1)+1,2)="R",TRIM(INDEX(OpCode!$A$2:$J$257,HEX2DEC($A25)*16+HEX2DEC(I$1)+1,3)&amp;CHAR(10)&amp;INDEX(OpCode!$A$2:$J$257,HEX2DEC($A25)*16+HEX2DEC(I$1)+1,4))," ")</f>
        <v>RMB5
dp</v>
      </c>
      <c r="J25" s="14" t="str">
        <f>IF(INDEX(OpCode!$A$2:$J$257,HEX2DEC($A25)*16+HEX2DEC(J$1)+1,2)="R",TRIM(INDEX(OpCode!$A$2:$J$257,HEX2DEC($A25)*16+HEX2DEC(J$1)+1,3)&amp;CHAR(10)&amp;INDEX(OpCode!$A$2:$J$257,HEX2DEC($A25)*16+HEX2DEC(J$1)+1,4))," ")</f>
        <v xml:space="preserve"> </v>
      </c>
      <c r="K25" s="14" t="str">
        <f>IF(INDEX(OpCode!$A$2:$J$257,HEX2DEC($A25)*16+HEX2DEC(K$1)+1,2)="R",TRIM(INDEX(OpCode!$A$2:$J$257,HEX2DEC($A25)*16+HEX2DEC(K$1)+1,3)&amp;CHAR(10)&amp;INDEX(OpCode!$A$2:$J$257,HEX2DEC($A25)*16+HEX2DEC(K$1)+1,4))," ")</f>
        <v xml:space="preserve"> </v>
      </c>
      <c r="L25" s="14" t="str">
        <f>IF(INDEX(OpCode!$A$2:$J$257,HEX2DEC($A25)*16+HEX2DEC(L$1)+1,2)="R",TRIM(INDEX(OpCode!$A$2:$J$257,HEX2DEC($A25)*16+HEX2DEC(L$1)+1,3)&amp;CHAR(10)&amp;INDEX(OpCode!$A$2:$J$257,HEX2DEC($A25)*16+HEX2DEC(L$1)+1,4))," ")</f>
        <v xml:space="preserve"> </v>
      </c>
      <c r="M25" s="14" t="str">
        <f>IF(INDEX(OpCode!$A$2:$J$257,HEX2DEC($A25)*16+HEX2DEC(M$1)+1,2)="R",TRIM(INDEX(OpCode!$A$2:$J$257,HEX2DEC($A25)*16+HEX2DEC(M$1)+1,3)&amp;CHAR(10)&amp;INDEX(OpCode!$A$2:$J$257,HEX2DEC($A25)*16+HEX2DEC(M$1)+1,4))," ")</f>
        <v xml:space="preserve"> </v>
      </c>
      <c r="N25" s="14" t="str">
        <f>IF(INDEX(OpCode!$A$2:$J$257,HEX2DEC($A25)*16+HEX2DEC(N$1)+1,2)="R",TRIM(INDEX(OpCode!$A$2:$J$257,HEX2DEC($A25)*16+HEX2DEC(N$1)+1,3)&amp;CHAR(10)&amp;INDEX(OpCode!$A$2:$J$257,HEX2DEC($A25)*16+HEX2DEC(N$1)+1,4))," ")</f>
        <v xml:space="preserve"> </v>
      </c>
      <c r="O25" s="14" t="str">
        <f>IF(INDEX(OpCode!$A$2:$J$257,HEX2DEC($A25)*16+HEX2DEC(O$1)+1,2)="R",TRIM(INDEX(OpCode!$A$2:$J$257,HEX2DEC($A25)*16+HEX2DEC(O$1)+1,3)&amp;CHAR(10)&amp;INDEX(OpCode!$A$2:$J$257,HEX2DEC($A25)*16+HEX2DEC(O$1)+1,4))," ")</f>
        <v xml:space="preserve"> </v>
      </c>
      <c r="P25" s="14" t="str">
        <f>IF(INDEX(OpCode!$A$2:$J$257,HEX2DEC($A25)*16+HEX2DEC(P$1)+1,2)="R",TRIM(INDEX(OpCode!$A$2:$J$257,HEX2DEC($A25)*16+HEX2DEC(P$1)+1,3)&amp;CHAR(10)&amp;INDEX(OpCode!$A$2:$J$257,HEX2DEC($A25)*16+HEX2DEC(P$1)+1,4))," ")</f>
        <v xml:space="preserve"> </v>
      </c>
      <c r="Q25" s="14" t="str">
        <f>IF(INDEX(OpCode!$A$2:$J$257,HEX2DEC($A25)*16+HEX2DEC(Q$1)+1,2)="R",TRIM(INDEX(OpCode!$A$2:$J$257,HEX2DEC($A25)*16+HEX2DEC(Q$1)+1,3)&amp;CHAR(10)&amp;INDEX(OpCode!$A$2:$J$257,HEX2DEC($A25)*16+HEX2DEC(Q$1)+1,4))," ")</f>
        <v>BBR5
dp,rel8</v>
      </c>
    </row>
    <row r="26" spans="1:17" ht="27" x14ac:dyDescent="0.25">
      <c r="A26" s="16">
        <v>6</v>
      </c>
      <c r="B26" s="14" t="str">
        <f>IF(INDEX(OpCode!$A$2:$J$257,HEX2DEC($A26)*16+HEX2DEC(B$1)+1,2)="R",TRIM(INDEX(OpCode!$A$2:$J$257,HEX2DEC($A26)*16+HEX2DEC(B$1)+1,3)&amp;CHAR(10)&amp;INDEX(OpCode!$A$2:$J$257,HEX2DEC($A26)*16+HEX2DEC(B$1)+1,4))," ")</f>
        <v xml:space="preserve"> </v>
      </c>
      <c r="C26" s="14" t="str">
        <f>IF(INDEX(OpCode!$A$2:$J$257,HEX2DEC($A26)*16+HEX2DEC(C$1)+1,2)="R",TRIM(INDEX(OpCode!$A$2:$J$257,HEX2DEC($A26)*16+HEX2DEC(C$1)+1,3)&amp;CHAR(10)&amp;INDEX(OpCode!$A$2:$J$257,HEX2DEC($A26)*16+HEX2DEC(C$1)+1,4))," ")</f>
        <v xml:space="preserve"> </v>
      </c>
      <c r="D26" s="14" t="str">
        <f>IF(INDEX(OpCode!$A$2:$J$257,HEX2DEC($A26)*16+HEX2DEC(D$1)+1,2)="R",TRIM(INDEX(OpCode!$A$2:$J$257,HEX2DEC($A26)*16+HEX2DEC(D$1)+1,3)&amp;CHAR(10)&amp;INDEX(OpCode!$A$2:$J$257,HEX2DEC($A26)*16+HEX2DEC(D$1)+1,4))," ")</f>
        <v xml:space="preserve"> </v>
      </c>
      <c r="E26" s="14" t="str">
        <f>IF(INDEX(OpCode!$A$2:$J$257,HEX2DEC($A26)*16+HEX2DEC(E$1)+1,2)="R",TRIM(INDEX(OpCode!$A$2:$J$257,HEX2DEC($A26)*16+HEX2DEC(E$1)+1,3)&amp;CHAR(10)&amp;INDEX(OpCode!$A$2:$J$257,HEX2DEC($A26)*16+HEX2DEC(E$1)+1,4))," ")</f>
        <v xml:space="preserve"> </v>
      </c>
      <c r="F26" s="14" t="str">
        <f>IF(INDEX(OpCode!$A$2:$J$257,HEX2DEC($A26)*16+HEX2DEC(F$1)+1,2)="R",TRIM(INDEX(OpCode!$A$2:$J$257,HEX2DEC($A26)*16+HEX2DEC(F$1)+1,3)&amp;CHAR(10)&amp;INDEX(OpCode!$A$2:$J$257,HEX2DEC($A26)*16+HEX2DEC(F$1)+1,4))," ")</f>
        <v xml:space="preserve"> </v>
      </c>
      <c r="G26" s="14" t="str">
        <f>IF(INDEX(OpCode!$A$2:$J$257,HEX2DEC($A26)*16+HEX2DEC(G$1)+1,2)="R",TRIM(INDEX(OpCode!$A$2:$J$257,HEX2DEC($A26)*16+HEX2DEC(G$1)+1,3)&amp;CHAR(10)&amp;INDEX(OpCode!$A$2:$J$257,HEX2DEC($A26)*16+HEX2DEC(G$1)+1,4))," ")</f>
        <v xml:space="preserve"> </v>
      </c>
      <c r="H26" s="14" t="str">
        <f>IF(INDEX(OpCode!$A$2:$J$257,HEX2DEC($A26)*16+HEX2DEC(H$1)+1,2)="R",TRIM(INDEX(OpCode!$A$2:$J$257,HEX2DEC($A26)*16+HEX2DEC(H$1)+1,3)&amp;CHAR(10)&amp;INDEX(OpCode!$A$2:$J$257,HEX2DEC($A26)*16+HEX2DEC(H$1)+1,4))," ")</f>
        <v xml:space="preserve"> </v>
      </c>
      <c r="I26" s="14" t="str">
        <f>IF(INDEX(OpCode!$A$2:$J$257,HEX2DEC($A26)*16+HEX2DEC(I$1)+1,2)="R",TRIM(INDEX(OpCode!$A$2:$J$257,HEX2DEC($A26)*16+HEX2DEC(I$1)+1,3)&amp;CHAR(10)&amp;INDEX(OpCode!$A$2:$J$257,HEX2DEC($A26)*16+HEX2DEC(I$1)+1,4))," ")</f>
        <v>RMB6
dp</v>
      </c>
      <c r="J26" s="14" t="str">
        <f>IF(INDEX(OpCode!$A$2:$J$257,HEX2DEC($A26)*16+HEX2DEC(J$1)+1,2)="R",TRIM(INDEX(OpCode!$A$2:$J$257,HEX2DEC($A26)*16+HEX2DEC(J$1)+1,3)&amp;CHAR(10)&amp;INDEX(OpCode!$A$2:$J$257,HEX2DEC($A26)*16+HEX2DEC(J$1)+1,4))," ")</f>
        <v xml:space="preserve"> </v>
      </c>
      <c r="K26" s="14" t="str">
        <f>IF(INDEX(OpCode!$A$2:$J$257,HEX2DEC($A26)*16+HEX2DEC(K$1)+1,2)="R",TRIM(INDEX(OpCode!$A$2:$J$257,HEX2DEC($A26)*16+HEX2DEC(K$1)+1,3)&amp;CHAR(10)&amp;INDEX(OpCode!$A$2:$J$257,HEX2DEC($A26)*16+HEX2DEC(K$1)+1,4))," ")</f>
        <v xml:space="preserve"> </v>
      </c>
      <c r="L26" s="14" t="str">
        <f>IF(INDEX(OpCode!$A$2:$J$257,HEX2DEC($A26)*16+HEX2DEC(L$1)+1,2)="R",TRIM(INDEX(OpCode!$A$2:$J$257,HEX2DEC($A26)*16+HEX2DEC(L$1)+1,3)&amp;CHAR(10)&amp;INDEX(OpCode!$A$2:$J$257,HEX2DEC($A26)*16+HEX2DEC(L$1)+1,4))," ")</f>
        <v xml:space="preserve"> </v>
      </c>
      <c r="M26" s="14" t="str">
        <f>IF(INDEX(OpCode!$A$2:$J$257,HEX2DEC($A26)*16+HEX2DEC(M$1)+1,2)="R",TRIM(INDEX(OpCode!$A$2:$J$257,HEX2DEC($A26)*16+HEX2DEC(M$1)+1,3)&amp;CHAR(10)&amp;INDEX(OpCode!$A$2:$J$257,HEX2DEC($A26)*16+HEX2DEC(M$1)+1,4))," ")</f>
        <v xml:space="preserve"> </v>
      </c>
      <c r="N26" s="14" t="str">
        <f>IF(INDEX(OpCode!$A$2:$J$257,HEX2DEC($A26)*16+HEX2DEC(N$1)+1,2)="R",TRIM(INDEX(OpCode!$A$2:$J$257,HEX2DEC($A26)*16+HEX2DEC(N$1)+1,3)&amp;CHAR(10)&amp;INDEX(OpCode!$A$2:$J$257,HEX2DEC($A26)*16+HEX2DEC(N$1)+1,4))," ")</f>
        <v xml:space="preserve"> </v>
      </c>
      <c r="O26" s="14" t="str">
        <f>IF(INDEX(OpCode!$A$2:$J$257,HEX2DEC($A26)*16+HEX2DEC(O$1)+1,2)="R",TRIM(INDEX(OpCode!$A$2:$J$257,HEX2DEC($A26)*16+HEX2DEC(O$1)+1,3)&amp;CHAR(10)&amp;INDEX(OpCode!$A$2:$J$257,HEX2DEC($A26)*16+HEX2DEC(O$1)+1,4))," ")</f>
        <v xml:space="preserve"> </v>
      </c>
      <c r="P26" s="14" t="str">
        <f>IF(INDEX(OpCode!$A$2:$J$257,HEX2DEC($A26)*16+HEX2DEC(P$1)+1,2)="R",TRIM(INDEX(OpCode!$A$2:$J$257,HEX2DEC($A26)*16+HEX2DEC(P$1)+1,3)&amp;CHAR(10)&amp;INDEX(OpCode!$A$2:$J$257,HEX2DEC($A26)*16+HEX2DEC(P$1)+1,4))," ")</f>
        <v xml:space="preserve"> </v>
      </c>
      <c r="Q26" s="14" t="str">
        <f>IF(INDEX(OpCode!$A$2:$J$257,HEX2DEC($A26)*16+HEX2DEC(Q$1)+1,2)="R",TRIM(INDEX(OpCode!$A$2:$J$257,HEX2DEC($A26)*16+HEX2DEC(Q$1)+1,3)&amp;CHAR(10)&amp;INDEX(OpCode!$A$2:$J$257,HEX2DEC($A26)*16+HEX2DEC(Q$1)+1,4))," ")</f>
        <v>BBR6
dp,rel8</v>
      </c>
    </row>
    <row r="27" spans="1:17" ht="27" x14ac:dyDescent="0.25">
      <c r="A27" s="16">
        <v>7</v>
      </c>
      <c r="B27" s="14" t="str">
        <f>IF(INDEX(OpCode!$A$2:$J$257,HEX2DEC($A27)*16+HEX2DEC(B$1)+1,2)="R",TRIM(INDEX(OpCode!$A$2:$J$257,HEX2DEC($A27)*16+HEX2DEC(B$1)+1,3)&amp;CHAR(10)&amp;INDEX(OpCode!$A$2:$J$257,HEX2DEC($A27)*16+HEX2DEC(B$1)+1,4))," ")</f>
        <v xml:space="preserve"> </v>
      </c>
      <c r="C27" s="14" t="str">
        <f>IF(INDEX(OpCode!$A$2:$J$257,HEX2DEC($A27)*16+HEX2DEC(C$1)+1,2)="R",TRIM(INDEX(OpCode!$A$2:$J$257,HEX2DEC($A27)*16+HEX2DEC(C$1)+1,3)&amp;CHAR(10)&amp;INDEX(OpCode!$A$2:$J$257,HEX2DEC($A27)*16+HEX2DEC(C$1)+1,4))," ")</f>
        <v xml:space="preserve"> </v>
      </c>
      <c r="D27" s="14" t="str">
        <f>IF(INDEX(OpCode!$A$2:$J$257,HEX2DEC($A27)*16+HEX2DEC(D$1)+1,2)="R",TRIM(INDEX(OpCode!$A$2:$J$257,HEX2DEC($A27)*16+HEX2DEC(D$1)+1,3)&amp;CHAR(10)&amp;INDEX(OpCode!$A$2:$J$257,HEX2DEC($A27)*16+HEX2DEC(D$1)+1,4))," ")</f>
        <v xml:space="preserve"> </v>
      </c>
      <c r="E27" s="14" t="str">
        <f>IF(INDEX(OpCode!$A$2:$J$257,HEX2DEC($A27)*16+HEX2DEC(E$1)+1,2)="R",TRIM(INDEX(OpCode!$A$2:$J$257,HEX2DEC($A27)*16+HEX2DEC(E$1)+1,3)&amp;CHAR(10)&amp;INDEX(OpCode!$A$2:$J$257,HEX2DEC($A27)*16+HEX2DEC(E$1)+1,4))," ")</f>
        <v xml:space="preserve"> </v>
      </c>
      <c r="F27" s="14" t="str">
        <f>IF(INDEX(OpCode!$A$2:$J$257,HEX2DEC($A27)*16+HEX2DEC(F$1)+1,2)="R",TRIM(INDEX(OpCode!$A$2:$J$257,HEX2DEC($A27)*16+HEX2DEC(F$1)+1,3)&amp;CHAR(10)&amp;INDEX(OpCode!$A$2:$J$257,HEX2DEC($A27)*16+HEX2DEC(F$1)+1,4))," ")</f>
        <v xml:space="preserve"> </v>
      </c>
      <c r="G27" s="14" t="str">
        <f>IF(INDEX(OpCode!$A$2:$J$257,HEX2DEC($A27)*16+HEX2DEC(G$1)+1,2)="R",TRIM(INDEX(OpCode!$A$2:$J$257,HEX2DEC($A27)*16+HEX2DEC(G$1)+1,3)&amp;CHAR(10)&amp;INDEX(OpCode!$A$2:$J$257,HEX2DEC($A27)*16+HEX2DEC(G$1)+1,4))," ")</f>
        <v xml:space="preserve"> </v>
      </c>
      <c r="H27" s="14" t="str">
        <f>IF(INDEX(OpCode!$A$2:$J$257,HEX2DEC($A27)*16+HEX2DEC(H$1)+1,2)="R",TRIM(INDEX(OpCode!$A$2:$J$257,HEX2DEC($A27)*16+HEX2DEC(H$1)+1,3)&amp;CHAR(10)&amp;INDEX(OpCode!$A$2:$J$257,HEX2DEC($A27)*16+HEX2DEC(H$1)+1,4))," ")</f>
        <v xml:space="preserve"> </v>
      </c>
      <c r="I27" s="14" t="str">
        <f>IF(INDEX(OpCode!$A$2:$J$257,HEX2DEC($A27)*16+HEX2DEC(I$1)+1,2)="R",TRIM(INDEX(OpCode!$A$2:$J$257,HEX2DEC($A27)*16+HEX2DEC(I$1)+1,3)&amp;CHAR(10)&amp;INDEX(OpCode!$A$2:$J$257,HEX2DEC($A27)*16+HEX2DEC(I$1)+1,4))," ")</f>
        <v>RMB7
dp</v>
      </c>
      <c r="J27" s="14" t="str">
        <f>IF(INDEX(OpCode!$A$2:$J$257,HEX2DEC($A27)*16+HEX2DEC(J$1)+1,2)="R",TRIM(INDEX(OpCode!$A$2:$J$257,HEX2DEC($A27)*16+HEX2DEC(J$1)+1,3)&amp;CHAR(10)&amp;INDEX(OpCode!$A$2:$J$257,HEX2DEC($A27)*16+HEX2DEC(J$1)+1,4))," ")</f>
        <v xml:space="preserve"> </v>
      </c>
      <c r="K27" s="14" t="str">
        <f>IF(INDEX(OpCode!$A$2:$J$257,HEX2DEC($A27)*16+HEX2DEC(K$1)+1,2)="R",TRIM(INDEX(OpCode!$A$2:$J$257,HEX2DEC($A27)*16+HEX2DEC(K$1)+1,3)&amp;CHAR(10)&amp;INDEX(OpCode!$A$2:$J$257,HEX2DEC($A27)*16+HEX2DEC(K$1)+1,4))," ")</f>
        <v xml:space="preserve"> </v>
      </c>
      <c r="L27" s="14" t="str">
        <f>IF(INDEX(OpCode!$A$2:$J$257,HEX2DEC($A27)*16+HEX2DEC(L$1)+1,2)="R",TRIM(INDEX(OpCode!$A$2:$J$257,HEX2DEC($A27)*16+HEX2DEC(L$1)+1,3)&amp;CHAR(10)&amp;INDEX(OpCode!$A$2:$J$257,HEX2DEC($A27)*16+HEX2DEC(L$1)+1,4))," ")</f>
        <v xml:space="preserve"> </v>
      </c>
      <c r="M27" s="14" t="str">
        <f>IF(INDEX(OpCode!$A$2:$J$257,HEX2DEC($A27)*16+HEX2DEC(M$1)+1,2)="R",TRIM(INDEX(OpCode!$A$2:$J$257,HEX2DEC($A27)*16+HEX2DEC(M$1)+1,3)&amp;CHAR(10)&amp;INDEX(OpCode!$A$2:$J$257,HEX2DEC($A27)*16+HEX2DEC(M$1)+1,4))," ")</f>
        <v xml:space="preserve"> </v>
      </c>
      <c r="N27" s="14" t="str">
        <f>IF(INDEX(OpCode!$A$2:$J$257,HEX2DEC($A27)*16+HEX2DEC(N$1)+1,2)="R",TRIM(INDEX(OpCode!$A$2:$J$257,HEX2DEC($A27)*16+HEX2DEC(N$1)+1,3)&amp;CHAR(10)&amp;INDEX(OpCode!$A$2:$J$257,HEX2DEC($A27)*16+HEX2DEC(N$1)+1,4))," ")</f>
        <v xml:space="preserve"> </v>
      </c>
      <c r="O27" s="14" t="str">
        <f>IF(INDEX(OpCode!$A$2:$J$257,HEX2DEC($A27)*16+HEX2DEC(O$1)+1,2)="R",TRIM(INDEX(OpCode!$A$2:$J$257,HEX2DEC($A27)*16+HEX2DEC(O$1)+1,3)&amp;CHAR(10)&amp;INDEX(OpCode!$A$2:$J$257,HEX2DEC($A27)*16+HEX2DEC(O$1)+1,4))," ")</f>
        <v xml:space="preserve"> </v>
      </c>
      <c r="P27" s="14" t="str">
        <f>IF(INDEX(OpCode!$A$2:$J$257,HEX2DEC($A27)*16+HEX2DEC(P$1)+1,2)="R",TRIM(INDEX(OpCode!$A$2:$J$257,HEX2DEC($A27)*16+HEX2DEC(P$1)+1,3)&amp;CHAR(10)&amp;INDEX(OpCode!$A$2:$J$257,HEX2DEC($A27)*16+HEX2DEC(P$1)+1,4))," ")</f>
        <v xml:space="preserve"> </v>
      </c>
      <c r="Q27" s="14" t="str">
        <f>IF(INDEX(OpCode!$A$2:$J$257,HEX2DEC($A27)*16+HEX2DEC(Q$1)+1,2)="R",TRIM(INDEX(OpCode!$A$2:$J$257,HEX2DEC($A27)*16+HEX2DEC(Q$1)+1,3)&amp;CHAR(10)&amp;INDEX(OpCode!$A$2:$J$257,HEX2DEC($A27)*16+HEX2DEC(Q$1)+1,4))," ")</f>
        <v>BBR7
dp,rel8</v>
      </c>
    </row>
    <row r="28" spans="1:17" ht="27" x14ac:dyDescent="0.25">
      <c r="A28" s="16">
        <v>8</v>
      </c>
      <c r="B28" s="14" t="str">
        <f>IF(INDEX(OpCode!$A$2:$J$257,HEX2DEC($A28)*16+HEX2DEC(B$1)+1,2)="R",TRIM(INDEX(OpCode!$A$2:$J$257,HEX2DEC($A28)*16+HEX2DEC(B$1)+1,3)&amp;CHAR(10)&amp;INDEX(OpCode!$A$2:$J$257,HEX2DEC($A28)*16+HEX2DEC(B$1)+1,4))," ")</f>
        <v xml:space="preserve"> </v>
      </c>
      <c r="C28" s="14" t="str">
        <f>IF(INDEX(OpCode!$A$2:$J$257,HEX2DEC($A28)*16+HEX2DEC(C$1)+1,2)="R",TRIM(INDEX(OpCode!$A$2:$J$257,HEX2DEC($A28)*16+HEX2DEC(C$1)+1,3)&amp;CHAR(10)&amp;INDEX(OpCode!$A$2:$J$257,HEX2DEC($A28)*16+HEX2DEC(C$1)+1,4))," ")</f>
        <v xml:space="preserve"> </v>
      </c>
      <c r="D28" s="14" t="str">
        <f>IF(INDEX(OpCode!$A$2:$J$257,HEX2DEC($A28)*16+HEX2DEC(D$1)+1,2)="R",TRIM(INDEX(OpCode!$A$2:$J$257,HEX2DEC($A28)*16+HEX2DEC(D$1)+1,3)&amp;CHAR(10)&amp;INDEX(OpCode!$A$2:$J$257,HEX2DEC($A28)*16+HEX2DEC(D$1)+1,4))," ")</f>
        <v xml:space="preserve"> </v>
      </c>
      <c r="E28" s="14" t="str">
        <f>IF(INDEX(OpCode!$A$2:$J$257,HEX2DEC($A28)*16+HEX2DEC(E$1)+1,2)="R",TRIM(INDEX(OpCode!$A$2:$J$257,HEX2DEC($A28)*16+HEX2DEC(E$1)+1,3)&amp;CHAR(10)&amp;INDEX(OpCode!$A$2:$J$257,HEX2DEC($A28)*16+HEX2DEC(E$1)+1,4))," ")</f>
        <v xml:space="preserve"> </v>
      </c>
      <c r="F28" s="14" t="str">
        <f>IF(INDEX(OpCode!$A$2:$J$257,HEX2DEC($A28)*16+HEX2DEC(F$1)+1,2)="R",TRIM(INDEX(OpCode!$A$2:$J$257,HEX2DEC($A28)*16+HEX2DEC(F$1)+1,3)&amp;CHAR(10)&amp;INDEX(OpCode!$A$2:$J$257,HEX2DEC($A28)*16+HEX2DEC(F$1)+1,4))," ")</f>
        <v xml:space="preserve"> </v>
      </c>
      <c r="G28" s="14" t="str">
        <f>IF(INDEX(OpCode!$A$2:$J$257,HEX2DEC($A28)*16+HEX2DEC(G$1)+1,2)="R",TRIM(INDEX(OpCode!$A$2:$J$257,HEX2DEC($A28)*16+HEX2DEC(G$1)+1,3)&amp;CHAR(10)&amp;INDEX(OpCode!$A$2:$J$257,HEX2DEC($A28)*16+HEX2DEC(G$1)+1,4))," ")</f>
        <v xml:space="preserve"> </v>
      </c>
      <c r="H28" s="14" t="str">
        <f>IF(INDEX(OpCode!$A$2:$J$257,HEX2DEC($A28)*16+HEX2DEC(H$1)+1,2)="R",TRIM(INDEX(OpCode!$A$2:$J$257,HEX2DEC($A28)*16+HEX2DEC(H$1)+1,3)&amp;CHAR(10)&amp;INDEX(OpCode!$A$2:$J$257,HEX2DEC($A28)*16+HEX2DEC(H$1)+1,4))," ")</f>
        <v xml:space="preserve"> </v>
      </c>
      <c r="I28" s="14" t="str">
        <f>IF(INDEX(OpCode!$A$2:$J$257,HEX2DEC($A28)*16+HEX2DEC(I$1)+1,2)="R",TRIM(INDEX(OpCode!$A$2:$J$257,HEX2DEC($A28)*16+HEX2DEC(I$1)+1,3)&amp;CHAR(10)&amp;INDEX(OpCode!$A$2:$J$257,HEX2DEC($A28)*16+HEX2DEC(I$1)+1,4))," ")</f>
        <v>SMB0
dp</v>
      </c>
      <c r="J28" s="14" t="str">
        <f>IF(INDEX(OpCode!$A$2:$J$257,HEX2DEC($A28)*16+HEX2DEC(J$1)+1,2)="R",TRIM(INDEX(OpCode!$A$2:$J$257,HEX2DEC($A28)*16+HEX2DEC(J$1)+1,3)&amp;CHAR(10)&amp;INDEX(OpCode!$A$2:$J$257,HEX2DEC($A28)*16+HEX2DEC(J$1)+1,4))," ")</f>
        <v xml:space="preserve"> </v>
      </c>
      <c r="K28" s="14" t="str">
        <f>IF(INDEX(OpCode!$A$2:$J$257,HEX2DEC($A28)*16+HEX2DEC(K$1)+1,2)="R",TRIM(INDEX(OpCode!$A$2:$J$257,HEX2DEC($A28)*16+HEX2DEC(K$1)+1,3)&amp;CHAR(10)&amp;INDEX(OpCode!$A$2:$J$257,HEX2DEC($A28)*16+HEX2DEC(K$1)+1,4))," ")</f>
        <v xml:space="preserve"> </v>
      </c>
      <c r="L28" s="14" t="str">
        <f>IF(INDEX(OpCode!$A$2:$J$257,HEX2DEC($A28)*16+HEX2DEC(L$1)+1,2)="R",TRIM(INDEX(OpCode!$A$2:$J$257,HEX2DEC($A28)*16+HEX2DEC(L$1)+1,3)&amp;CHAR(10)&amp;INDEX(OpCode!$A$2:$J$257,HEX2DEC($A28)*16+HEX2DEC(L$1)+1,4))," ")</f>
        <v xml:space="preserve"> </v>
      </c>
      <c r="M28" s="14" t="str">
        <f>IF(INDEX(OpCode!$A$2:$J$257,HEX2DEC($A28)*16+HEX2DEC(M$1)+1,2)="R",TRIM(INDEX(OpCode!$A$2:$J$257,HEX2DEC($A28)*16+HEX2DEC(M$1)+1,3)&amp;CHAR(10)&amp;INDEX(OpCode!$A$2:$J$257,HEX2DEC($A28)*16+HEX2DEC(M$1)+1,4))," ")</f>
        <v xml:space="preserve"> </v>
      </c>
      <c r="N28" s="14" t="str">
        <f>IF(INDEX(OpCode!$A$2:$J$257,HEX2DEC($A28)*16+HEX2DEC(N$1)+1,2)="R",TRIM(INDEX(OpCode!$A$2:$J$257,HEX2DEC($A28)*16+HEX2DEC(N$1)+1,3)&amp;CHAR(10)&amp;INDEX(OpCode!$A$2:$J$257,HEX2DEC($A28)*16+HEX2DEC(N$1)+1,4))," ")</f>
        <v xml:space="preserve"> </v>
      </c>
      <c r="O28" s="14" t="str">
        <f>IF(INDEX(OpCode!$A$2:$J$257,HEX2DEC($A28)*16+HEX2DEC(O$1)+1,2)="R",TRIM(INDEX(OpCode!$A$2:$J$257,HEX2DEC($A28)*16+HEX2DEC(O$1)+1,3)&amp;CHAR(10)&amp;INDEX(OpCode!$A$2:$J$257,HEX2DEC($A28)*16+HEX2DEC(O$1)+1,4))," ")</f>
        <v xml:space="preserve"> </v>
      </c>
      <c r="P28" s="14" t="str">
        <f>IF(INDEX(OpCode!$A$2:$J$257,HEX2DEC($A28)*16+HEX2DEC(P$1)+1,2)="R",TRIM(INDEX(OpCode!$A$2:$J$257,HEX2DEC($A28)*16+HEX2DEC(P$1)+1,3)&amp;CHAR(10)&amp;INDEX(OpCode!$A$2:$J$257,HEX2DEC($A28)*16+HEX2DEC(P$1)+1,4))," ")</f>
        <v xml:space="preserve"> </v>
      </c>
      <c r="Q28" s="14" t="str">
        <f>IF(INDEX(OpCode!$A$2:$J$257,HEX2DEC($A28)*16+HEX2DEC(Q$1)+1,2)="R",TRIM(INDEX(OpCode!$A$2:$J$257,HEX2DEC($A28)*16+HEX2DEC(Q$1)+1,3)&amp;CHAR(10)&amp;INDEX(OpCode!$A$2:$J$257,HEX2DEC($A28)*16+HEX2DEC(Q$1)+1,4))," ")</f>
        <v>BBS0
dp,rel8</v>
      </c>
    </row>
    <row r="29" spans="1:17" ht="27" x14ac:dyDescent="0.25">
      <c r="A29" s="16">
        <v>9</v>
      </c>
      <c r="B29" s="14" t="str">
        <f>IF(INDEX(OpCode!$A$2:$J$257,HEX2DEC($A29)*16+HEX2DEC(B$1)+1,2)="R",TRIM(INDEX(OpCode!$A$2:$J$257,HEX2DEC($A29)*16+HEX2DEC(B$1)+1,3)&amp;CHAR(10)&amp;INDEX(OpCode!$A$2:$J$257,HEX2DEC($A29)*16+HEX2DEC(B$1)+1,4))," ")</f>
        <v xml:space="preserve"> </v>
      </c>
      <c r="C29" s="14" t="str">
        <f>IF(INDEX(OpCode!$A$2:$J$257,HEX2DEC($A29)*16+HEX2DEC(C$1)+1,2)="R",TRIM(INDEX(OpCode!$A$2:$J$257,HEX2DEC($A29)*16+HEX2DEC(C$1)+1,3)&amp;CHAR(10)&amp;INDEX(OpCode!$A$2:$J$257,HEX2DEC($A29)*16+HEX2DEC(C$1)+1,4))," ")</f>
        <v xml:space="preserve"> </v>
      </c>
      <c r="D29" s="14" t="str">
        <f>IF(INDEX(OpCode!$A$2:$J$257,HEX2DEC($A29)*16+HEX2DEC(D$1)+1,2)="R",TRIM(INDEX(OpCode!$A$2:$J$257,HEX2DEC($A29)*16+HEX2DEC(D$1)+1,3)&amp;CHAR(10)&amp;INDEX(OpCode!$A$2:$J$257,HEX2DEC($A29)*16+HEX2DEC(D$1)+1,4))," ")</f>
        <v xml:space="preserve"> </v>
      </c>
      <c r="E29" s="14" t="str">
        <f>IF(INDEX(OpCode!$A$2:$J$257,HEX2DEC($A29)*16+HEX2DEC(E$1)+1,2)="R",TRIM(INDEX(OpCode!$A$2:$J$257,HEX2DEC($A29)*16+HEX2DEC(E$1)+1,3)&amp;CHAR(10)&amp;INDEX(OpCode!$A$2:$J$257,HEX2DEC($A29)*16+HEX2DEC(E$1)+1,4))," ")</f>
        <v xml:space="preserve"> </v>
      </c>
      <c r="F29" s="14" t="str">
        <f>IF(INDEX(OpCode!$A$2:$J$257,HEX2DEC($A29)*16+HEX2DEC(F$1)+1,2)="R",TRIM(INDEX(OpCode!$A$2:$J$257,HEX2DEC($A29)*16+HEX2DEC(F$1)+1,3)&amp;CHAR(10)&amp;INDEX(OpCode!$A$2:$J$257,HEX2DEC($A29)*16+HEX2DEC(F$1)+1,4))," ")</f>
        <v xml:space="preserve"> </v>
      </c>
      <c r="G29" s="14" t="str">
        <f>IF(INDEX(OpCode!$A$2:$J$257,HEX2DEC($A29)*16+HEX2DEC(G$1)+1,2)="R",TRIM(INDEX(OpCode!$A$2:$J$257,HEX2DEC($A29)*16+HEX2DEC(G$1)+1,3)&amp;CHAR(10)&amp;INDEX(OpCode!$A$2:$J$257,HEX2DEC($A29)*16+HEX2DEC(G$1)+1,4))," ")</f>
        <v xml:space="preserve"> </v>
      </c>
      <c r="H29" s="14" t="str">
        <f>IF(INDEX(OpCode!$A$2:$J$257,HEX2DEC($A29)*16+HEX2DEC(H$1)+1,2)="R",TRIM(INDEX(OpCode!$A$2:$J$257,HEX2DEC($A29)*16+HEX2DEC(H$1)+1,3)&amp;CHAR(10)&amp;INDEX(OpCode!$A$2:$J$257,HEX2DEC($A29)*16+HEX2DEC(H$1)+1,4))," ")</f>
        <v xml:space="preserve"> </v>
      </c>
      <c r="I29" s="14" t="str">
        <f>IF(INDEX(OpCode!$A$2:$J$257,HEX2DEC($A29)*16+HEX2DEC(I$1)+1,2)="R",TRIM(INDEX(OpCode!$A$2:$J$257,HEX2DEC($A29)*16+HEX2DEC(I$1)+1,3)&amp;CHAR(10)&amp;INDEX(OpCode!$A$2:$J$257,HEX2DEC($A29)*16+HEX2DEC(I$1)+1,4))," ")</f>
        <v>SMB1
dp</v>
      </c>
      <c r="J29" s="14" t="str">
        <f>IF(INDEX(OpCode!$A$2:$J$257,HEX2DEC($A29)*16+HEX2DEC(J$1)+1,2)="R",TRIM(INDEX(OpCode!$A$2:$J$257,HEX2DEC($A29)*16+HEX2DEC(J$1)+1,3)&amp;CHAR(10)&amp;INDEX(OpCode!$A$2:$J$257,HEX2DEC($A29)*16+HEX2DEC(J$1)+1,4))," ")</f>
        <v xml:space="preserve"> </v>
      </c>
      <c r="K29" s="14" t="str">
        <f>IF(INDEX(OpCode!$A$2:$J$257,HEX2DEC($A29)*16+HEX2DEC(K$1)+1,2)="R",TRIM(INDEX(OpCode!$A$2:$J$257,HEX2DEC($A29)*16+HEX2DEC(K$1)+1,3)&amp;CHAR(10)&amp;INDEX(OpCode!$A$2:$J$257,HEX2DEC($A29)*16+HEX2DEC(K$1)+1,4))," ")</f>
        <v xml:space="preserve"> </v>
      </c>
      <c r="L29" s="14" t="str">
        <f>IF(INDEX(OpCode!$A$2:$J$257,HEX2DEC($A29)*16+HEX2DEC(L$1)+1,2)="R",TRIM(INDEX(OpCode!$A$2:$J$257,HEX2DEC($A29)*16+HEX2DEC(L$1)+1,3)&amp;CHAR(10)&amp;INDEX(OpCode!$A$2:$J$257,HEX2DEC($A29)*16+HEX2DEC(L$1)+1,4))," ")</f>
        <v xml:space="preserve"> </v>
      </c>
      <c r="M29" s="14" t="str">
        <f>IF(INDEX(OpCode!$A$2:$J$257,HEX2DEC($A29)*16+HEX2DEC(M$1)+1,2)="R",TRIM(INDEX(OpCode!$A$2:$J$257,HEX2DEC($A29)*16+HEX2DEC(M$1)+1,3)&amp;CHAR(10)&amp;INDEX(OpCode!$A$2:$J$257,HEX2DEC($A29)*16+HEX2DEC(M$1)+1,4))," ")</f>
        <v xml:space="preserve"> </v>
      </c>
      <c r="N29" s="14" t="str">
        <f>IF(INDEX(OpCode!$A$2:$J$257,HEX2DEC($A29)*16+HEX2DEC(N$1)+1,2)="R",TRIM(INDEX(OpCode!$A$2:$J$257,HEX2DEC($A29)*16+HEX2DEC(N$1)+1,3)&amp;CHAR(10)&amp;INDEX(OpCode!$A$2:$J$257,HEX2DEC($A29)*16+HEX2DEC(N$1)+1,4))," ")</f>
        <v xml:space="preserve"> </v>
      </c>
      <c r="O29" s="14" t="str">
        <f>IF(INDEX(OpCode!$A$2:$J$257,HEX2DEC($A29)*16+HEX2DEC(O$1)+1,2)="R",TRIM(INDEX(OpCode!$A$2:$J$257,HEX2DEC($A29)*16+HEX2DEC(O$1)+1,3)&amp;CHAR(10)&amp;INDEX(OpCode!$A$2:$J$257,HEX2DEC($A29)*16+HEX2DEC(O$1)+1,4))," ")</f>
        <v xml:space="preserve"> </v>
      </c>
      <c r="P29" s="14" t="str">
        <f>IF(INDEX(OpCode!$A$2:$J$257,HEX2DEC($A29)*16+HEX2DEC(P$1)+1,2)="R",TRIM(INDEX(OpCode!$A$2:$J$257,HEX2DEC($A29)*16+HEX2DEC(P$1)+1,3)&amp;CHAR(10)&amp;INDEX(OpCode!$A$2:$J$257,HEX2DEC($A29)*16+HEX2DEC(P$1)+1,4))," ")</f>
        <v xml:space="preserve"> </v>
      </c>
      <c r="Q29" s="14" t="str">
        <f>IF(INDEX(OpCode!$A$2:$J$257,HEX2DEC($A29)*16+HEX2DEC(Q$1)+1,2)="R",TRIM(INDEX(OpCode!$A$2:$J$257,HEX2DEC($A29)*16+HEX2DEC(Q$1)+1,3)&amp;CHAR(10)&amp;INDEX(OpCode!$A$2:$J$257,HEX2DEC($A29)*16+HEX2DEC(Q$1)+1,4))," ")</f>
        <v>BBS1
dp,rel8</v>
      </c>
    </row>
    <row r="30" spans="1:17" ht="27" x14ac:dyDescent="0.25">
      <c r="A30" s="16" t="s">
        <v>61</v>
      </c>
      <c r="B30" s="14" t="str">
        <f>IF(INDEX(OpCode!$A$2:$J$257,HEX2DEC($A30)*16+HEX2DEC(B$1)+1,2)="R",TRIM(INDEX(OpCode!$A$2:$J$257,HEX2DEC($A30)*16+HEX2DEC(B$1)+1,3)&amp;CHAR(10)&amp;INDEX(OpCode!$A$2:$J$257,HEX2DEC($A30)*16+HEX2DEC(B$1)+1,4))," ")</f>
        <v xml:space="preserve"> </v>
      </c>
      <c r="C30" s="14" t="str">
        <f>IF(INDEX(OpCode!$A$2:$J$257,HEX2DEC($A30)*16+HEX2DEC(C$1)+1,2)="R",TRIM(INDEX(OpCode!$A$2:$J$257,HEX2DEC($A30)*16+HEX2DEC(C$1)+1,3)&amp;CHAR(10)&amp;INDEX(OpCode!$A$2:$J$257,HEX2DEC($A30)*16+HEX2DEC(C$1)+1,4))," ")</f>
        <v xml:space="preserve"> </v>
      </c>
      <c r="D30" s="14" t="str">
        <f>IF(INDEX(OpCode!$A$2:$J$257,HEX2DEC($A30)*16+HEX2DEC(D$1)+1,2)="R",TRIM(INDEX(OpCode!$A$2:$J$257,HEX2DEC($A30)*16+HEX2DEC(D$1)+1,3)&amp;CHAR(10)&amp;INDEX(OpCode!$A$2:$J$257,HEX2DEC($A30)*16+HEX2DEC(D$1)+1,4))," ")</f>
        <v xml:space="preserve"> </v>
      </c>
      <c r="E30" s="14" t="str">
        <f>IF(INDEX(OpCode!$A$2:$J$257,HEX2DEC($A30)*16+HEX2DEC(E$1)+1,2)="R",TRIM(INDEX(OpCode!$A$2:$J$257,HEX2DEC($A30)*16+HEX2DEC(E$1)+1,3)&amp;CHAR(10)&amp;INDEX(OpCode!$A$2:$J$257,HEX2DEC($A30)*16+HEX2DEC(E$1)+1,4))," ")</f>
        <v xml:space="preserve"> </v>
      </c>
      <c r="F30" s="14" t="str">
        <f>IF(INDEX(OpCode!$A$2:$J$257,HEX2DEC($A30)*16+HEX2DEC(F$1)+1,2)="R",TRIM(INDEX(OpCode!$A$2:$J$257,HEX2DEC($A30)*16+HEX2DEC(F$1)+1,3)&amp;CHAR(10)&amp;INDEX(OpCode!$A$2:$J$257,HEX2DEC($A30)*16+HEX2DEC(F$1)+1,4))," ")</f>
        <v xml:space="preserve"> </v>
      </c>
      <c r="G30" s="14" t="str">
        <f>IF(INDEX(OpCode!$A$2:$J$257,HEX2DEC($A30)*16+HEX2DEC(G$1)+1,2)="R",TRIM(INDEX(OpCode!$A$2:$J$257,HEX2DEC($A30)*16+HEX2DEC(G$1)+1,3)&amp;CHAR(10)&amp;INDEX(OpCode!$A$2:$J$257,HEX2DEC($A30)*16+HEX2DEC(G$1)+1,4))," ")</f>
        <v xml:space="preserve"> </v>
      </c>
      <c r="H30" s="14" t="str">
        <f>IF(INDEX(OpCode!$A$2:$J$257,HEX2DEC($A30)*16+HEX2DEC(H$1)+1,2)="R",TRIM(INDEX(OpCode!$A$2:$J$257,HEX2DEC($A30)*16+HEX2DEC(H$1)+1,3)&amp;CHAR(10)&amp;INDEX(OpCode!$A$2:$J$257,HEX2DEC($A30)*16+HEX2DEC(H$1)+1,4))," ")</f>
        <v xml:space="preserve"> </v>
      </c>
      <c r="I30" s="14" t="str">
        <f>IF(INDEX(OpCode!$A$2:$J$257,HEX2DEC($A30)*16+HEX2DEC(I$1)+1,2)="R",TRIM(INDEX(OpCode!$A$2:$J$257,HEX2DEC($A30)*16+HEX2DEC(I$1)+1,3)&amp;CHAR(10)&amp;INDEX(OpCode!$A$2:$J$257,HEX2DEC($A30)*16+HEX2DEC(I$1)+1,4))," ")</f>
        <v>SMB2
dp</v>
      </c>
      <c r="J30" s="14" t="str">
        <f>IF(INDEX(OpCode!$A$2:$J$257,HEX2DEC($A30)*16+HEX2DEC(J$1)+1,2)="R",TRIM(INDEX(OpCode!$A$2:$J$257,HEX2DEC($A30)*16+HEX2DEC(J$1)+1,3)&amp;CHAR(10)&amp;INDEX(OpCode!$A$2:$J$257,HEX2DEC($A30)*16+HEX2DEC(J$1)+1,4))," ")</f>
        <v xml:space="preserve"> </v>
      </c>
      <c r="K30" s="14" t="str">
        <f>IF(INDEX(OpCode!$A$2:$J$257,HEX2DEC($A30)*16+HEX2DEC(K$1)+1,2)="R",TRIM(INDEX(OpCode!$A$2:$J$257,HEX2DEC($A30)*16+HEX2DEC(K$1)+1,3)&amp;CHAR(10)&amp;INDEX(OpCode!$A$2:$J$257,HEX2DEC($A30)*16+HEX2DEC(K$1)+1,4))," ")</f>
        <v xml:space="preserve"> </v>
      </c>
      <c r="L30" s="14" t="str">
        <f>IF(INDEX(OpCode!$A$2:$J$257,HEX2DEC($A30)*16+HEX2DEC(L$1)+1,2)="R",TRIM(INDEX(OpCode!$A$2:$J$257,HEX2DEC($A30)*16+HEX2DEC(L$1)+1,3)&amp;CHAR(10)&amp;INDEX(OpCode!$A$2:$J$257,HEX2DEC($A30)*16+HEX2DEC(L$1)+1,4))," ")</f>
        <v xml:space="preserve"> </v>
      </c>
      <c r="M30" s="14" t="str">
        <f>IF(INDEX(OpCode!$A$2:$J$257,HEX2DEC($A30)*16+HEX2DEC(M$1)+1,2)="R",TRIM(INDEX(OpCode!$A$2:$J$257,HEX2DEC($A30)*16+HEX2DEC(M$1)+1,3)&amp;CHAR(10)&amp;INDEX(OpCode!$A$2:$J$257,HEX2DEC($A30)*16+HEX2DEC(M$1)+1,4))," ")</f>
        <v xml:space="preserve"> </v>
      </c>
      <c r="N30" s="14" t="str">
        <f>IF(INDEX(OpCode!$A$2:$J$257,HEX2DEC($A30)*16+HEX2DEC(N$1)+1,2)="R",TRIM(INDEX(OpCode!$A$2:$J$257,HEX2DEC($A30)*16+HEX2DEC(N$1)+1,3)&amp;CHAR(10)&amp;INDEX(OpCode!$A$2:$J$257,HEX2DEC($A30)*16+HEX2DEC(N$1)+1,4))," ")</f>
        <v xml:space="preserve"> </v>
      </c>
      <c r="O30" s="14" t="str">
        <f>IF(INDEX(OpCode!$A$2:$J$257,HEX2DEC($A30)*16+HEX2DEC(O$1)+1,2)="R",TRIM(INDEX(OpCode!$A$2:$J$257,HEX2DEC($A30)*16+HEX2DEC(O$1)+1,3)&amp;CHAR(10)&amp;INDEX(OpCode!$A$2:$J$257,HEX2DEC($A30)*16+HEX2DEC(O$1)+1,4))," ")</f>
        <v xml:space="preserve"> </v>
      </c>
      <c r="P30" s="14" t="str">
        <f>IF(INDEX(OpCode!$A$2:$J$257,HEX2DEC($A30)*16+HEX2DEC(P$1)+1,2)="R",TRIM(INDEX(OpCode!$A$2:$J$257,HEX2DEC($A30)*16+HEX2DEC(P$1)+1,3)&amp;CHAR(10)&amp;INDEX(OpCode!$A$2:$J$257,HEX2DEC($A30)*16+HEX2DEC(P$1)+1,4))," ")</f>
        <v xml:space="preserve"> </v>
      </c>
      <c r="Q30" s="14" t="str">
        <f>IF(INDEX(OpCode!$A$2:$J$257,HEX2DEC($A30)*16+HEX2DEC(Q$1)+1,2)="R",TRIM(INDEX(OpCode!$A$2:$J$257,HEX2DEC($A30)*16+HEX2DEC(Q$1)+1,3)&amp;CHAR(10)&amp;INDEX(OpCode!$A$2:$J$257,HEX2DEC($A30)*16+HEX2DEC(Q$1)+1,4))," ")</f>
        <v>BBS2
dp,rel8</v>
      </c>
    </row>
    <row r="31" spans="1:17" ht="27" x14ac:dyDescent="0.25">
      <c r="A31" s="16" t="s">
        <v>62</v>
      </c>
      <c r="B31" s="14" t="str">
        <f>IF(INDEX(OpCode!$A$2:$J$257,HEX2DEC($A31)*16+HEX2DEC(B$1)+1,2)="R",TRIM(INDEX(OpCode!$A$2:$J$257,HEX2DEC($A31)*16+HEX2DEC(B$1)+1,3)&amp;CHAR(10)&amp;INDEX(OpCode!$A$2:$J$257,HEX2DEC($A31)*16+HEX2DEC(B$1)+1,4))," ")</f>
        <v xml:space="preserve"> </v>
      </c>
      <c r="C31" s="14" t="str">
        <f>IF(INDEX(OpCode!$A$2:$J$257,HEX2DEC($A31)*16+HEX2DEC(C$1)+1,2)="R",TRIM(INDEX(OpCode!$A$2:$J$257,HEX2DEC($A31)*16+HEX2DEC(C$1)+1,3)&amp;CHAR(10)&amp;INDEX(OpCode!$A$2:$J$257,HEX2DEC($A31)*16+HEX2DEC(C$1)+1,4))," ")</f>
        <v xml:space="preserve"> </v>
      </c>
      <c r="D31" s="14" t="str">
        <f>IF(INDEX(OpCode!$A$2:$J$257,HEX2DEC($A31)*16+HEX2DEC(D$1)+1,2)="R",TRIM(INDEX(OpCode!$A$2:$J$257,HEX2DEC($A31)*16+HEX2DEC(D$1)+1,3)&amp;CHAR(10)&amp;INDEX(OpCode!$A$2:$J$257,HEX2DEC($A31)*16+HEX2DEC(D$1)+1,4))," ")</f>
        <v xml:space="preserve"> </v>
      </c>
      <c r="E31" s="14" t="str">
        <f>IF(INDEX(OpCode!$A$2:$J$257,HEX2DEC($A31)*16+HEX2DEC(E$1)+1,2)="R",TRIM(INDEX(OpCode!$A$2:$J$257,HEX2DEC($A31)*16+HEX2DEC(E$1)+1,3)&amp;CHAR(10)&amp;INDEX(OpCode!$A$2:$J$257,HEX2DEC($A31)*16+HEX2DEC(E$1)+1,4))," ")</f>
        <v xml:space="preserve"> </v>
      </c>
      <c r="F31" s="14" t="str">
        <f>IF(INDEX(OpCode!$A$2:$J$257,HEX2DEC($A31)*16+HEX2DEC(F$1)+1,2)="R",TRIM(INDEX(OpCode!$A$2:$J$257,HEX2DEC($A31)*16+HEX2DEC(F$1)+1,3)&amp;CHAR(10)&amp;INDEX(OpCode!$A$2:$J$257,HEX2DEC($A31)*16+HEX2DEC(F$1)+1,4))," ")</f>
        <v xml:space="preserve"> </v>
      </c>
      <c r="G31" s="14" t="str">
        <f>IF(INDEX(OpCode!$A$2:$J$257,HEX2DEC($A31)*16+HEX2DEC(G$1)+1,2)="R",TRIM(INDEX(OpCode!$A$2:$J$257,HEX2DEC($A31)*16+HEX2DEC(G$1)+1,3)&amp;CHAR(10)&amp;INDEX(OpCode!$A$2:$J$257,HEX2DEC($A31)*16+HEX2DEC(G$1)+1,4))," ")</f>
        <v xml:space="preserve"> </v>
      </c>
      <c r="H31" s="14" t="str">
        <f>IF(INDEX(OpCode!$A$2:$J$257,HEX2DEC($A31)*16+HEX2DEC(H$1)+1,2)="R",TRIM(INDEX(OpCode!$A$2:$J$257,HEX2DEC($A31)*16+HEX2DEC(H$1)+1,3)&amp;CHAR(10)&amp;INDEX(OpCode!$A$2:$J$257,HEX2DEC($A31)*16+HEX2DEC(H$1)+1,4))," ")</f>
        <v xml:space="preserve"> </v>
      </c>
      <c r="I31" s="14" t="str">
        <f>IF(INDEX(OpCode!$A$2:$J$257,HEX2DEC($A31)*16+HEX2DEC(I$1)+1,2)="R",TRIM(INDEX(OpCode!$A$2:$J$257,HEX2DEC($A31)*16+HEX2DEC(I$1)+1,3)&amp;CHAR(10)&amp;INDEX(OpCode!$A$2:$J$257,HEX2DEC($A31)*16+HEX2DEC(I$1)+1,4))," ")</f>
        <v>SMB3
dp</v>
      </c>
      <c r="J31" s="14" t="str">
        <f>IF(INDEX(OpCode!$A$2:$J$257,HEX2DEC($A31)*16+HEX2DEC(J$1)+1,2)="R",TRIM(INDEX(OpCode!$A$2:$J$257,HEX2DEC($A31)*16+HEX2DEC(J$1)+1,3)&amp;CHAR(10)&amp;INDEX(OpCode!$A$2:$J$257,HEX2DEC($A31)*16+HEX2DEC(J$1)+1,4))," ")</f>
        <v xml:space="preserve"> </v>
      </c>
      <c r="K31" s="14" t="str">
        <f>IF(INDEX(OpCode!$A$2:$J$257,HEX2DEC($A31)*16+HEX2DEC(K$1)+1,2)="R",TRIM(INDEX(OpCode!$A$2:$J$257,HEX2DEC($A31)*16+HEX2DEC(K$1)+1,3)&amp;CHAR(10)&amp;INDEX(OpCode!$A$2:$J$257,HEX2DEC($A31)*16+HEX2DEC(K$1)+1,4))," ")</f>
        <v xml:space="preserve"> </v>
      </c>
      <c r="L31" s="14" t="str">
        <f>IF(INDEX(OpCode!$A$2:$J$257,HEX2DEC($A31)*16+HEX2DEC(L$1)+1,2)="R",TRIM(INDEX(OpCode!$A$2:$J$257,HEX2DEC($A31)*16+HEX2DEC(L$1)+1,3)&amp;CHAR(10)&amp;INDEX(OpCode!$A$2:$J$257,HEX2DEC($A31)*16+HEX2DEC(L$1)+1,4))," ")</f>
        <v xml:space="preserve"> </v>
      </c>
      <c r="M31" s="14" t="str">
        <f>IF(INDEX(OpCode!$A$2:$J$257,HEX2DEC($A31)*16+HEX2DEC(M$1)+1,2)="R",TRIM(INDEX(OpCode!$A$2:$J$257,HEX2DEC($A31)*16+HEX2DEC(M$1)+1,3)&amp;CHAR(10)&amp;INDEX(OpCode!$A$2:$J$257,HEX2DEC($A31)*16+HEX2DEC(M$1)+1,4))," ")</f>
        <v xml:space="preserve"> </v>
      </c>
      <c r="N31" s="14" t="str">
        <f>IF(INDEX(OpCode!$A$2:$J$257,HEX2DEC($A31)*16+HEX2DEC(N$1)+1,2)="R",TRIM(INDEX(OpCode!$A$2:$J$257,HEX2DEC($A31)*16+HEX2DEC(N$1)+1,3)&amp;CHAR(10)&amp;INDEX(OpCode!$A$2:$J$257,HEX2DEC($A31)*16+HEX2DEC(N$1)+1,4))," ")</f>
        <v xml:space="preserve"> </v>
      </c>
      <c r="O31" s="14" t="str">
        <f>IF(INDEX(OpCode!$A$2:$J$257,HEX2DEC($A31)*16+HEX2DEC(O$1)+1,2)="R",TRIM(INDEX(OpCode!$A$2:$J$257,HEX2DEC($A31)*16+HEX2DEC(O$1)+1,3)&amp;CHAR(10)&amp;INDEX(OpCode!$A$2:$J$257,HEX2DEC($A31)*16+HEX2DEC(O$1)+1,4))," ")</f>
        <v xml:space="preserve"> </v>
      </c>
      <c r="P31" s="14" t="str">
        <f>IF(INDEX(OpCode!$A$2:$J$257,HEX2DEC($A31)*16+HEX2DEC(P$1)+1,2)="R",TRIM(INDEX(OpCode!$A$2:$J$257,HEX2DEC($A31)*16+HEX2DEC(P$1)+1,3)&amp;CHAR(10)&amp;INDEX(OpCode!$A$2:$J$257,HEX2DEC($A31)*16+HEX2DEC(P$1)+1,4))," ")</f>
        <v xml:space="preserve"> </v>
      </c>
      <c r="Q31" s="14" t="str">
        <f>IF(INDEX(OpCode!$A$2:$J$257,HEX2DEC($A31)*16+HEX2DEC(Q$1)+1,2)="R",TRIM(INDEX(OpCode!$A$2:$J$257,HEX2DEC($A31)*16+HEX2DEC(Q$1)+1,3)&amp;CHAR(10)&amp;INDEX(OpCode!$A$2:$J$257,HEX2DEC($A31)*16+HEX2DEC(Q$1)+1,4))," ")</f>
        <v>BBS3
dp,rel8</v>
      </c>
    </row>
    <row r="32" spans="1:17" ht="27" x14ac:dyDescent="0.25">
      <c r="A32" s="16" t="s">
        <v>189</v>
      </c>
      <c r="B32" s="14" t="str">
        <f>IF(INDEX(OpCode!$A$2:$J$257,HEX2DEC($A32)*16+HEX2DEC(B$1)+1,2)="R",TRIM(INDEX(OpCode!$A$2:$J$257,HEX2DEC($A32)*16+HEX2DEC(B$1)+1,3)&amp;CHAR(10)&amp;INDEX(OpCode!$A$2:$J$257,HEX2DEC($A32)*16+HEX2DEC(B$1)+1,4))," ")</f>
        <v xml:space="preserve"> </v>
      </c>
      <c r="C32" s="14" t="str">
        <f>IF(INDEX(OpCode!$A$2:$J$257,HEX2DEC($A32)*16+HEX2DEC(C$1)+1,2)="R",TRIM(INDEX(OpCode!$A$2:$J$257,HEX2DEC($A32)*16+HEX2DEC(C$1)+1,3)&amp;CHAR(10)&amp;INDEX(OpCode!$A$2:$J$257,HEX2DEC($A32)*16+HEX2DEC(C$1)+1,4))," ")</f>
        <v xml:space="preserve"> </v>
      </c>
      <c r="D32" s="14" t="str">
        <f>IF(INDEX(OpCode!$A$2:$J$257,HEX2DEC($A32)*16+HEX2DEC(D$1)+1,2)="R",TRIM(INDEX(OpCode!$A$2:$J$257,HEX2DEC($A32)*16+HEX2DEC(D$1)+1,3)&amp;CHAR(10)&amp;INDEX(OpCode!$A$2:$J$257,HEX2DEC($A32)*16+HEX2DEC(D$1)+1,4))," ")</f>
        <v xml:space="preserve"> </v>
      </c>
      <c r="E32" s="14" t="str">
        <f>IF(INDEX(OpCode!$A$2:$J$257,HEX2DEC($A32)*16+HEX2DEC(E$1)+1,2)="R",TRIM(INDEX(OpCode!$A$2:$J$257,HEX2DEC($A32)*16+HEX2DEC(E$1)+1,3)&amp;CHAR(10)&amp;INDEX(OpCode!$A$2:$J$257,HEX2DEC($A32)*16+HEX2DEC(E$1)+1,4))," ")</f>
        <v xml:space="preserve"> </v>
      </c>
      <c r="F32" s="14" t="str">
        <f>IF(INDEX(OpCode!$A$2:$J$257,HEX2DEC($A32)*16+HEX2DEC(F$1)+1,2)="R",TRIM(INDEX(OpCode!$A$2:$J$257,HEX2DEC($A32)*16+HEX2DEC(F$1)+1,3)&amp;CHAR(10)&amp;INDEX(OpCode!$A$2:$J$257,HEX2DEC($A32)*16+HEX2DEC(F$1)+1,4))," ")</f>
        <v xml:space="preserve"> </v>
      </c>
      <c r="G32" s="14" t="str">
        <f>IF(INDEX(OpCode!$A$2:$J$257,HEX2DEC($A32)*16+HEX2DEC(G$1)+1,2)="R",TRIM(INDEX(OpCode!$A$2:$J$257,HEX2DEC($A32)*16+HEX2DEC(G$1)+1,3)&amp;CHAR(10)&amp;INDEX(OpCode!$A$2:$J$257,HEX2DEC($A32)*16+HEX2DEC(G$1)+1,4))," ")</f>
        <v xml:space="preserve"> </v>
      </c>
      <c r="H32" s="14" t="str">
        <f>IF(INDEX(OpCode!$A$2:$J$257,HEX2DEC($A32)*16+HEX2DEC(H$1)+1,2)="R",TRIM(INDEX(OpCode!$A$2:$J$257,HEX2DEC($A32)*16+HEX2DEC(H$1)+1,3)&amp;CHAR(10)&amp;INDEX(OpCode!$A$2:$J$257,HEX2DEC($A32)*16+HEX2DEC(H$1)+1,4))," ")</f>
        <v xml:space="preserve"> </v>
      </c>
      <c r="I32" s="14" t="str">
        <f>IF(INDEX(OpCode!$A$2:$J$257,HEX2DEC($A32)*16+HEX2DEC(I$1)+1,2)="R",TRIM(INDEX(OpCode!$A$2:$J$257,HEX2DEC($A32)*16+HEX2DEC(I$1)+1,3)&amp;CHAR(10)&amp;INDEX(OpCode!$A$2:$J$257,HEX2DEC($A32)*16+HEX2DEC(I$1)+1,4))," ")</f>
        <v>SMB4
dp</v>
      </c>
      <c r="J32" s="14" t="str">
        <f>IF(INDEX(OpCode!$A$2:$J$257,HEX2DEC($A32)*16+HEX2DEC(J$1)+1,2)="R",TRIM(INDEX(OpCode!$A$2:$J$257,HEX2DEC($A32)*16+HEX2DEC(J$1)+1,3)&amp;CHAR(10)&amp;INDEX(OpCode!$A$2:$J$257,HEX2DEC($A32)*16+HEX2DEC(J$1)+1,4))," ")</f>
        <v xml:space="preserve"> </v>
      </c>
      <c r="K32" s="14" t="str">
        <f>IF(INDEX(OpCode!$A$2:$J$257,HEX2DEC($A32)*16+HEX2DEC(K$1)+1,2)="R",TRIM(INDEX(OpCode!$A$2:$J$257,HEX2DEC($A32)*16+HEX2DEC(K$1)+1,3)&amp;CHAR(10)&amp;INDEX(OpCode!$A$2:$J$257,HEX2DEC($A32)*16+HEX2DEC(K$1)+1,4))," ")</f>
        <v xml:space="preserve"> </v>
      </c>
      <c r="L32" s="14" t="str">
        <f>IF(INDEX(OpCode!$A$2:$J$257,HEX2DEC($A32)*16+HEX2DEC(L$1)+1,2)="R",TRIM(INDEX(OpCode!$A$2:$J$257,HEX2DEC($A32)*16+HEX2DEC(L$1)+1,3)&amp;CHAR(10)&amp;INDEX(OpCode!$A$2:$J$257,HEX2DEC($A32)*16+HEX2DEC(L$1)+1,4))," ")</f>
        <v xml:space="preserve"> </v>
      </c>
      <c r="M32" s="14" t="str">
        <f>IF(INDEX(OpCode!$A$2:$J$257,HEX2DEC($A32)*16+HEX2DEC(M$1)+1,2)="R",TRIM(INDEX(OpCode!$A$2:$J$257,HEX2DEC($A32)*16+HEX2DEC(M$1)+1,3)&amp;CHAR(10)&amp;INDEX(OpCode!$A$2:$J$257,HEX2DEC($A32)*16+HEX2DEC(M$1)+1,4))," ")</f>
        <v xml:space="preserve"> </v>
      </c>
      <c r="N32" s="14" t="str">
        <f>IF(INDEX(OpCode!$A$2:$J$257,HEX2DEC($A32)*16+HEX2DEC(N$1)+1,2)="R",TRIM(INDEX(OpCode!$A$2:$J$257,HEX2DEC($A32)*16+HEX2DEC(N$1)+1,3)&amp;CHAR(10)&amp;INDEX(OpCode!$A$2:$J$257,HEX2DEC($A32)*16+HEX2DEC(N$1)+1,4))," ")</f>
        <v xml:space="preserve"> </v>
      </c>
      <c r="O32" s="14" t="str">
        <f>IF(INDEX(OpCode!$A$2:$J$257,HEX2DEC($A32)*16+HEX2DEC(O$1)+1,2)="R",TRIM(INDEX(OpCode!$A$2:$J$257,HEX2DEC($A32)*16+HEX2DEC(O$1)+1,3)&amp;CHAR(10)&amp;INDEX(OpCode!$A$2:$J$257,HEX2DEC($A32)*16+HEX2DEC(O$1)+1,4))," ")</f>
        <v xml:space="preserve"> </v>
      </c>
      <c r="P32" s="14" t="str">
        <f>IF(INDEX(OpCode!$A$2:$J$257,HEX2DEC($A32)*16+HEX2DEC(P$1)+1,2)="R",TRIM(INDEX(OpCode!$A$2:$J$257,HEX2DEC($A32)*16+HEX2DEC(P$1)+1,3)&amp;CHAR(10)&amp;INDEX(OpCode!$A$2:$J$257,HEX2DEC($A32)*16+HEX2DEC(P$1)+1,4))," ")</f>
        <v xml:space="preserve"> </v>
      </c>
      <c r="Q32" s="14" t="str">
        <f>IF(INDEX(OpCode!$A$2:$J$257,HEX2DEC($A32)*16+HEX2DEC(Q$1)+1,2)="R",TRIM(INDEX(OpCode!$A$2:$J$257,HEX2DEC($A32)*16+HEX2DEC(Q$1)+1,3)&amp;CHAR(10)&amp;INDEX(OpCode!$A$2:$J$257,HEX2DEC($A32)*16+HEX2DEC(Q$1)+1,4))," ")</f>
        <v>BBS4
dp,rel8</v>
      </c>
    </row>
    <row r="33" spans="1:17" ht="27" x14ac:dyDescent="0.25">
      <c r="A33" s="16" t="s">
        <v>190</v>
      </c>
      <c r="B33" s="14" t="str">
        <f>IF(INDEX(OpCode!$A$2:$J$257,HEX2DEC($A33)*16+HEX2DEC(B$1)+1,2)="R",TRIM(INDEX(OpCode!$A$2:$J$257,HEX2DEC($A33)*16+HEX2DEC(B$1)+1,3)&amp;CHAR(10)&amp;INDEX(OpCode!$A$2:$J$257,HEX2DEC($A33)*16+HEX2DEC(B$1)+1,4))," ")</f>
        <v xml:space="preserve"> </v>
      </c>
      <c r="C33" s="14" t="str">
        <f>IF(INDEX(OpCode!$A$2:$J$257,HEX2DEC($A33)*16+HEX2DEC(C$1)+1,2)="R",TRIM(INDEX(OpCode!$A$2:$J$257,HEX2DEC($A33)*16+HEX2DEC(C$1)+1,3)&amp;CHAR(10)&amp;INDEX(OpCode!$A$2:$J$257,HEX2DEC($A33)*16+HEX2DEC(C$1)+1,4))," ")</f>
        <v xml:space="preserve"> </v>
      </c>
      <c r="D33" s="14" t="str">
        <f>IF(INDEX(OpCode!$A$2:$J$257,HEX2DEC($A33)*16+HEX2DEC(D$1)+1,2)="R",TRIM(INDEX(OpCode!$A$2:$J$257,HEX2DEC($A33)*16+HEX2DEC(D$1)+1,3)&amp;CHAR(10)&amp;INDEX(OpCode!$A$2:$J$257,HEX2DEC($A33)*16+HEX2DEC(D$1)+1,4))," ")</f>
        <v xml:space="preserve"> </v>
      </c>
      <c r="E33" s="14" t="str">
        <f>IF(INDEX(OpCode!$A$2:$J$257,HEX2DEC($A33)*16+HEX2DEC(E$1)+1,2)="R",TRIM(INDEX(OpCode!$A$2:$J$257,HEX2DEC($A33)*16+HEX2DEC(E$1)+1,3)&amp;CHAR(10)&amp;INDEX(OpCode!$A$2:$J$257,HEX2DEC($A33)*16+HEX2DEC(E$1)+1,4))," ")</f>
        <v xml:space="preserve"> </v>
      </c>
      <c r="F33" s="14" t="str">
        <f>IF(INDEX(OpCode!$A$2:$J$257,HEX2DEC($A33)*16+HEX2DEC(F$1)+1,2)="R",TRIM(INDEX(OpCode!$A$2:$J$257,HEX2DEC($A33)*16+HEX2DEC(F$1)+1,3)&amp;CHAR(10)&amp;INDEX(OpCode!$A$2:$J$257,HEX2DEC($A33)*16+HEX2DEC(F$1)+1,4))," ")</f>
        <v xml:space="preserve"> </v>
      </c>
      <c r="G33" s="14" t="str">
        <f>IF(INDEX(OpCode!$A$2:$J$257,HEX2DEC($A33)*16+HEX2DEC(G$1)+1,2)="R",TRIM(INDEX(OpCode!$A$2:$J$257,HEX2DEC($A33)*16+HEX2DEC(G$1)+1,3)&amp;CHAR(10)&amp;INDEX(OpCode!$A$2:$J$257,HEX2DEC($A33)*16+HEX2DEC(G$1)+1,4))," ")</f>
        <v xml:space="preserve"> </v>
      </c>
      <c r="H33" s="14" t="str">
        <f>IF(INDEX(OpCode!$A$2:$J$257,HEX2DEC($A33)*16+HEX2DEC(H$1)+1,2)="R",TRIM(INDEX(OpCode!$A$2:$J$257,HEX2DEC($A33)*16+HEX2DEC(H$1)+1,3)&amp;CHAR(10)&amp;INDEX(OpCode!$A$2:$J$257,HEX2DEC($A33)*16+HEX2DEC(H$1)+1,4))," ")</f>
        <v xml:space="preserve"> </v>
      </c>
      <c r="I33" s="14" t="str">
        <f>IF(INDEX(OpCode!$A$2:$J$257,HEX2DEC($A33)*16+HEX2DEC(I$1)+1,2)="R",TRIM(INDEX(OpCode!$A$2:$J$257,HEX2DEC($A33)*16+HEX2DEC(I$1)+1,3)&amp;CHAR(10)&amp;INDEX(OpCode!$A$2:$J$257,HEX2DEC($A33)*16+HEX2DEC(I$1)+1,4))," ")</f>
        <v>SMB5
dp</v>
      </c>
      <c r="J33" s="14" t="str">
        <f>IF(INDEX(OpCode!$A$2:$J$257,HEX2DEC($A33)*16+HEX2DEC(J$1)+1,2)="R",TRIM(INDEX(OpCode!$A$2:$J$257,HEX2DEC($A33)*16+HEX2DEC(J$1)+1,3)&amp;CHAR(10)&amp;INDEX(OpCode!$A$2:$J$257,HEX2DEC($A33)*16+HEX2DEC(J$1)+1,4))," ")</f>
        <v xml:space="preserve"> </v>
      </c>
      <c r="K33" s="14" t="str">
        <f>IF(INDEX(OpCode!$A$2:$J$257,HEX2DEC($A33)*16+HEX2DEC(K$1)+1,2)="R",TRIM(INDEX(OpCode!$A$2:$J$257,HEX2DEC($A33)*16+HEX2DEC(K$1)+1,3)&amp;CHAR(10)&amp;INDEX(OpCode!$A$2:$J$257,HEX2DEC($A33)*16+HEX2DEC(K$1)+1,4))," ")</f>
        <v xml:space="preserve"> </v>
      </c>
      <c r="L33" s="14" t="str">
        <f>IF(INDEX(OpCode!$A$2:$J$257,HEX2DEC($A33)*16+HEX2DEC(L$1)+1,2)="R",TRIM(INDEX(OpCode!$A$2:$J$257,HEX2DEC($A33)*16+HEX2DEC(L$1)+1,3)&amp;CHAR(10)&amp;INDEX(OpCode!$A$2:$J$257,HEX2DEC($A33)*16+HEX2DEC(L$1)+1,4))," ")</f>
        <v xml:space="preserve"> </v>
      </c>
      <c r="M33" s="14" t="str">
        <f>IF(INDEX(OpCode!$A$2:$J$257,HEX2DEC($A33)*16+HEX2DEC(M$1)+1,2)="R",TRIM(INDEX(OpCode!$A$2:$J$257,HEX2DEC($A33)*16+HEX2DEC(M$1)+1,3)&amp;CHAR(10)&amp;INDEX(OpCode!$A$2:$J$257,HEX2DEC($A33)*16+HEX2DEC(M$1)+1,4))," ")</f>
        <v xml:space="preserve"> </v>
      </c>
      <c r="N33" s="14" t="str">
        <f>IF(INDEX(OpCode!$A$2:$J$257,HEX2DEC($A33)*16+HEX2DEC(N$1)+1,2)="R",TRIM(INDEX(OpCode!$A$2:$J$257,HEX2DEC($A33)*16+HEX2DEC(N$1)+1,3)&amp;CHAR(10)&amp;INDEX(OpCode!$A$2:$J$257,HEX2DEC($A33)*16+HEX2DEC(N$1)+1,4))," ")</f>
        <v xml:space="preserve"> </v>
      </c>
      <c r="O33" s="14" t="str">
        <f>IF(INDEX(OpCode!$A$2:$J$257,HEX2DEC($A33)*16+HEX2DEC(O$1)+1,2)="R",TRIM(INDEX(OpCode!$A$2:$J$257,HEX2DEC($A33)*16+HEX2DEC(O$1)+1,3)&amp;CHAR(10)&amp;INDEX(OpCode!$A$2:$J$257,HEX2DEC($A33)*16+HEX2DEC(O$1)+1,4))," ")</f>
        <v xml:space="preserve"> </v>
      </c>
      <c r="P33" s="14" t="str">
        <f>IF(INDEX(OpCode!$A$2:$J$257,HEX2DEC($A33)*16+HEX2DEC(P$1)+1,2)="R",TRIM(INDEX(OpCode!$A$2:$J$257,HEX2DEC($A33)*16+HEX2DEC(P$1)+1,3)&amp;CHAR(10)&amp;INDEX(OpCode!$A$2:$J$257,HEX2DEC($A33)*16+HEX2DEC(P$1)+1,4))," ")</f>
        <v xml:space="preserve"> </v>
      </c>
      <c r="Q33" s="14" t="str">
        <f>IF(INDEX(OpCode!$A$2:$J$257,HEX2DEC($A33)*16+HEX2DEC(Q$1)+1,2)="R",TRIM(INDEX(OpCode!$A$2:$J$257,HEX2DEC($A33)*16+HEX2DEC(Q$1)+1,3)&amp;CHAR(10)&amp;INDEX(OpCode!$A$2:$J$257,HEX2DEC($A33)*16+HEX2DEC(Q$1)+1,4))," ")</f>
        <v>BBS5
dp,rel8</v>
      </c>
    </row>
    <row r="34" spans="1:17" ht="27" x14ac:dyDescent="0.25">
      <c r="A34" s="16" t="s">
        <v>191</v>
      </c>
      <c r="B34" s="14" t="str">
        <f>IF(INDEX(OpCode!$A$2:$J$257,HEX2DEC($A34)*16+HEX2DEC(B$1)+1,2)="R",TRIM(INDEX(OpCode!$A$2:$J$257,HEX2DEC($A34)*16+HEX2DEC(B$1)+1,3)&amp;CHAR(10)&amp;INDEX(OpCode!$A$2:$J$257,HEX2DEC($A34)*16+HEX2DEC(B$1)+1,4))," ")</f>
        <v xml:space="preserve"> </v>
      </c>
      <c r="C34" s="14" t="str">
        <f>IF(INDEX(OpCode!$A$2:$J$257,HEX2DEC($A34)*16+HEX2DEC(C$1)+1,2)="R",TRIM(INDEX(OpCode!$A$2:$J$257,HEX2DEC($A34)*16+HEX2DEC(C$1)+1,3)&amp;CHAR(10)&amp;INDEX(OpCode!$A$2:$J$257,HEX2DEC($A34)*16+HEX2DEC(C$1)+1,4))," ")</f>
        <v xml:space="preserve"> </v>
      </c>
      <c r="D34" s="14" t="str">
        <f>IF(INDEX(OpCode!$A$2:$J$257,HEX2DEC($A34)*16+HEX2DEC(D$1)+1,2)="R",TRIM(INDEX(OpCode!$A$2:$J$257,HEX2DEC($A34)*16+HEX2DEC(D$1)+1,3)&amp;CHAR(10)&amp;INDEX(OpCode!$A$2:$J$257,HEX2DEC($A34)*16+HEX2DEC(D$1)+1,4))," ")</f>
        <v xml:space="preserve"> </v>
      </c>
      <c r="E34" s="14" t="str">
        <f>IF(INDEX(OpCode!$A$2:$J$257,HEX2DEC($A34)*16+HEX2DEC(E$1)+1,2)="R",TRIM(INDEX(OpCode!$A$2:$J$257,HEX2DEC($A34)*16+HEX2DEC(E$1)+1,3)&amp;CHAR(10)&amp;INDEX(OpCode!$A$2:$J$257,HEX2DEC($A34)*16+HEX2DEC(E$1)+1,4))," ")</f>
        <v xml:space="preserve"> </v>
      </c>
      <c r="F34" s="14" t="str">
        <f>IF(INDEX(OpCode!$A$2:$J$257,HEX2DEC($A34)*16+HEX2DEC(F$1)+1,2)="R",TRIM(INDEX(OpCode!$A$2:$J$257,HEX2DEC($A34)*16+HEX2DEC(F$1)+1,3)&amp;CHAR(10)&amp;INDEX(OpCode!$A$2:$J$257,HEX2DEC($A34)*16+HEX2DEC(F$1)+1,4))," ")</f>
        <v xml:space="preserve"> </v>
      </c>
      <c r="G34" s="14" t="str">
        <f>IF(INDEX(OpCode!$A$2:$J$257,HEX2DEC($A34)*16+HEX2DEC(G$1)+1,2)="R",TRIM(INDEX(OpCode!$A$2:$J$257,HEX2DEC($A34)*16+HEX2DEC(G$1)+1,3)&amp;CHAR(10)&amp;INDEX(OpCode!$A$2:$J$257,HEX2DEC($A34)*16+HEX2DEC(G$1)+1,4))," ")</f>
        <v xml:space="preserve"> </v>
      </c>
      <c r="H34" s="14" t="str">
        <f>IF(INDEX(OpCode!$A$2:$J$257,HEX2DEC($A34)*16+HEX2DEC(H$1)+1,2)="R",TRIM(INDEX(OpCode!$A$2:$J$257,HEX2DEC($A34)*16+HEX2DEC(H$1)+1,3)&amp;CHAR(10)&amp;INDEX(OpCode!$A$2:$J$257,HEX2DEC($A34)*16+HEX2DEC(H$1)+1,4))," ")</f>
        <v xml:space="preserve"> </v>
      </c>
      <c r="I34" s="14" t="str">
        <f>IF(INDEX(OpCode!$A$2:$J$257,HEX2DEC($A34)*16+HEX2DEC(I$1)+1,2)="R",TRIM(INDEX(OpCode!$A$2:$J$257,HEX2DEC($A34)*16+HEX2DEC(I$1)+1,3)&amp;CHAR(10)&amp;INDEX(OpCode!$A$2:$J$257,HEX2DEC($A34)*16+HEX2DEC(I$1)+1,4))," ")</f>
        <v>SMB6
dp</v>
      </c>
      <c r="J34" s="14" t="str">
        <f>IF(INDEX(OpCode!$A$2:$J$257,HEX2DEC($A34)*16+HEX2DEC(J$1)+1,2)="R",TRIM(INDEX(OpCode!$A$2:$J$257,HEX2DEC($A34)*16+HEX2DEC(J$1)+1,3)&amp;CHAR(10)&amp;INDEX(OpCode!$A$2:$J$257,HEX2DEC($A34)*16+HEX2DEC(J$1)+1,4))," ")</f>
        <v xml:space="preserve"> </v>
      </c>
      <c r="K34" s="14" t="str">
        <f>IF(INDEX(OpCode!$A$2:$J$257,HEX2DEC($A34)*16+HEX2DEC(K$1)+1,2)="R",TRIM(INDEX(OpCode!$A$2:$J$257,HEX2DEC($A34)*16+HEX2DEC(K$1)+1,3)&amp;CHAR(10)&amp;INDEX(OpCode!$A$2:$J$257,HEX2DEC($A34)*16+HEX2DEC(K$1)+1,4))," ")</f>
        <v xml:space="preserve"> </v>
      </c>
      <c r="L34" s="14" t="str">
        <f>IF(INDEX(OpCode!$A$2:$J$257,HEX2DEC($A34)*16+HEX2DEC(L$1)+1,2)="R",TRIM(INDEX(OpCode!$A$2:$J$257,HEX2DEC($A34)*16+HEX2DEC(L$1)+1,3)&amp;CHAR(10)&amp;INDEX(OpCode!$A$2:$J$257,HEX2DEC($A34)*16+HEX2DEC(L$1)+1,4))," ")</f>
        <v xml:space="preserve"> </v>
      </c>
      <c r="M34" s="14" t="str">
        <f>IF(INDEX(OpCode!$A$2:$J$257,HEX2DEC($A34)*16+HEX2DEC(M$1)+1,2)="R",TRIM(INDEX(OpCode!$A$2:$J$257,HEX2DEC($A34)*16+HEX2DEC(M$1)+1,3)&amp;CHAR(10)&amp;INDEX(OpCode!$A$2:$J$257,HEX2DEC($A34)*16+HEX2DEC(M$1)+1,4))," ")</f>
        <v xml:space="preserve"> </v>
      </c>
      <c r="N34" s="14" t="str">
        <f>IF(INDEX(OpCode!$A$2:$J$257,HEX2DEC($A34)*16+HEX2DEC(N$1)+1,2)="R",TRIM(INDEX(OpCode!$A$2:$J$257,HEX2DEC($A34)*16+HEX2DEC(N$1)+1,3)&amp;CHAR(10)&amp;INDEX(OpCode!$A$2:$J$257,HEX2DEC($A34)*16+HEX2DEC(N$1)+1,4))," ")</f>
        <v xml:space="preserve"> </v>
      </c>
      <c r="O34" s="14" t="str">
        <f>IF(INDEX(OpCode!$A$2:$J$257,HEX2DEC($A34)*16+HEX2DEC(O$1)+1,2)="R",TRIM(INDEX(OpCode!$A$2:$J$257,HEX2DEC($A34)*16+HEX2DEC(O$1)+1,3)&amp;CHAR(10)&amp;INDEX(OpCode!$A$2:$J$257,HEX2DEC($A34)*16+HEX2DEC(O$1)+1,4))," ")</f>
        <v xml:space="preserve"> </v>
      </c>
      <c r="P34" s="14" t="str">
        <f>IF(INDEX(OpCode!$A$2:$J$257,HEX2DEC($A34)*16+HEX2DEC(P$1)+1,2)="R",TRIM(INDEX(OpCode!$A$2:$J$257,HEX2DEC($A34)*16+HEX2DEC(P$1)+1,3)&amp;CHAR(10)&amp;INDEX(OpCode!$A$2:$J$257,HEX2DEC($A34)*16+HEX2DEC(P$1)+1,4))," ")</f>
        <v xml:space="preserve"> </v>
      </c>
      <c r="Q34" s="14" t="str">
        <f>IF(INDEX(OpCode!$A$2:$J$257,HEX2DEC($A34)*16+HEX2DEC(Q$1)+1,2)="R",TRIM(INDEX(OpCode!$A$2:$J$257,HEX2DEC($A34)*16+HEX2DEC(Q$1)+1,3)&amp;CHAR(10)&amp;INDEX(OpCode!$A$2:$J$257,HEX2DEC($A34)*16+HEX2DEC(Q$1)+1,4))," ")</f>
        <v>BBS6
dp,rel8</v>
      </c>
    </row>
    <row r="35" spans="1:17" ht="27" x14ac:dyDescent="0.25">
      <c r="A35" s="16" t="s">
        <v>192</v>
      </c>
      <c r="B35" s="14" t="str">
        <f>IF(INDEX(OpCode!$A$2:$J$257,HEX2DEC($A35)*16+HEX2DEC(B$1)+1,2)="R",TRIM(INDEX(OpCode!$A$2:$J$257,HEX2DEC($A35)*16+HEX2DEC(B$1)+1,3)&amp;CHAR(10)&amp;INDEX(OpCode!$A$2:$J$257,HEX2DEC($A35)*16+HEX2DEC(B$1)+1,4))," ")</f>
        <v xml:space="preserve"> </v>
      </c>
      <c r="C35" s="14" t="str">
        <f>IF(INDEX(OpCode!$A$2:$J$257,HEX2DEC($A35)*16+HEX2DEC(C$1)+1,2)="R",TRIM(INDEX(OpCode!$A$2:$J$257,HEX2DEC($A35)*16+HEX2DEC(C$1)+1,3)&amp;CHAR(10)&amp;INDEX(OpCode!$A$2:$J$257,HEX2DEC($A35)*16+HEX2DEC(C$1)+1,4))," ")</f>
        <v xml:space="preserve"> </v>
      </c>
      <c r="D35" s="14" t="str">
        <f>IF(INDEX(OpCode!$A$2:$J$257,HEX2DEC($A35)*16+HEX2DEC(D$1)+1,2)="R",TRIM(INDEX(OpCode!$A$2:$J$257,HEX2DEC($A35)*16+HEX2DEC(D$1)+1,3)&amp;CHAR(10)&amp;INDEX(OpCode!$A$2:$J$257,HEX2DEC($A35)*16+HEX2DEC(D$1)+1,4))," ")</f>
        <v xml:space="preserve"> </v>
      </c>
      <c r="E35" s="14" t="str">
        <f>IF(INDEX(OpCode!$A$2:$J$257,HEX2DEC($A35)*16+HEX2DEC(E$1)+1,2)="R",TRIM(INDEX(OpCode!$A$2:$J$257,HEX2DEC($A35)*16+HEX2DEC(E$1)+1,3)&amp;CHAR(10)&amp;INDEX(OpCode!$A$2:$J$257,HEX2DEC($A35)*16+HEX2DEC(E$1)+1,4))," ")</f>
        <v xml:space="preserve"> </v>
      </c>
      <c r="F35" s="14" t="str">
        <f>IF(INDEX(OpCode!$A$2:$J$257,HEX2DEC($A35)*16+HEX2DEC(F$1)+1,2)="R",TRIM(INDEX(OpCode!$A$2:$J$257,HEX2DEC($A35)*16+HEX2DEC(F$1)+1,3)&amp;CHAR(10)&amp;INDEX(OpCode!$A$2:$J$257,HEX2DEC($A35)*16+HEX2DEC(F$1)+1,4))," ")</f>
        <v xml:space="preserve"> </v>
      </c>
      <c r="G35" s="14" t="str">
        <f>IF(INDEX(OpCode!$A$2:$J$257,HEX2DEC($A35)*16+HEX2DEC(G$1)+1,2)="R",TRIM(INDEX(OpCode!$A$2:$J$257,HEX2DEC($A35)*16+HEX2DEC(G$1)+1,3)&amp;CHAR(10)&amp;INDEX(OpCode!$A$2:$J$257,HEX2DEC($A35)*16+HEX2DEC(G$1)+1,4))," ")</f>
        <v xml:space="preserve"> </v>
      </c>
      <c r="H35" s="14" t="str">
        <f>IF(INDEX(OpCode!$A$2:$J$257,HEX2DEC($A35)*16+HEX2DEC(H$1)+1,2)="R",TRIM(INDEX(OpCode!$A$2:$J$257,HEX2DEC($A35)*16+HEX2DEC(H$1)+1,3)&amp;CHAR(10)&amp;INDEX(OpCode!$A$2:$J$257,HEX2DEC($A35)*16+HEX2DEC(H$1)+1,4))," ")</f>
        <v xml:space="preserve"> </v>
      </c>
      <c r="I35" s="14" t="str">
        <f>IF(INDEX(OpCode!$A$2:$J$257,HEX2DEC($A35)*16+HEX2DEC(I$1)+1,2)="R",TRIM(INDEX(OpCode!$A$2:$J$257,HEX2DEC($A35)*16+HEX2DEC(I$1)+1,3)&amp;CHAR(10)&amp;INDEX(OpCode!$A$2:$J$257,HEX2DEC($A35)*16+HEX2DEC(I$1)+1,4))," ")</f>
        <v>SMB7
dp</v>
      </c>
      <c r="J35" s="14" t="str">
        <f>IF(INDEX(OpCode!$A$2:$J$257,HEX2DEC($A35)*16+HEX2DEC(J$1)+1,2)="R",TRIM(INDEX(OpCode!$A$2:$J$257,HEX2DEC($A35)*16+HEX2DEC(J$1)+1,3)&amp;CHAR(10)&amp;INDEX(OpCode!$A$2:$J$257,HEX2DEC($A35)*16+HEX2DEC(J$1)+1,4))," ")</f>
        <v xml:space="preserve"> </v>
      </c>
      <c r="K35" s="14" t="str">
        <f>IF(INDEX(OpCode!$A$2:$J$257,HEX2DEC($A35)*16+HEX2DEC(K$1)+1,2)="R",TRIM(INDEX(OpCode!$A$2:$J$257,HEX2DEC($A35)*16+HEX2DEC(K$1)+1,3)&amp;CHAR(10)&amp;INDEX(OpCode!$A$2:$J$257,HEX2DEC($A35)*16+HEX2DEC(K$1)+1,4))," ")</f>
        <v xml:space="preserve"> </v>
      </c>
      <c r="L35" s="14" t="str">
        <f>IF(INDEX(OpCode!$A$2:$J$257,HEX2DEC($A35)*16+HEX2DEC(L$1)+1,2)="R",TRIM(INDEX(OpCode!$A$2:$J$257,HEX2DEC($A35)*16+HEX2DEC(L$1)+1,3)&amp;CHAR(10)&amp;INDEX(OpCode!$A$2:$J$257,HEX2DEC($A35)*16+HEX2DEC(L$1)+1,4))," ")</f>
        <v xml:space="preserve"> </v>
      </c>
      <c r="M35" s="14" t="str">
        <f>IF(INDEX(OpCode!$A$2:$J$257,HEX2DEC($A35)*16+HEX2DEC(M$1)+1,2)="R",TRIM(INDEX(OpCode!$A$2:$J$257,HEX2DEC($A35)*16+HEX2DEC(M$1)+1,3)&amp;CHAR(10)&amp;INDEX(OpCode!$A$2:$J$257,HEX2DEC($A35)*16+HEX2DEC(M$1)+1,4))," ")</f>
        <v xml:space="preserve"> </v>
      </c>
      <c r="N35" s="14" t="str">
        <f>IF(INDEX(OpCode!$A$2:$J$257,HEX2DEC($A35)*16+HEX2DEC(N$1)+1,2)="R",TRIM(INDEX(OpCode!$A$2:$J$257,HEX2DEC($A35)*16+HEX2DEC(N$1)+1,3)&amp;CHAR(10)&amp;INDEX(OpCode!$A$2:$J$257,HEX2DEC($A35)*16+HEX2DEC(N$1)+1,4))," ")</f>
        <v xml:space="preserve"> </v>
      </c>
      <c r="O35" s="14" t="str">
        <f>IF(INDEX(OpCode!$A$2:$J$257,HEX2DEC($A35)*16+HEX2DEC(O$1)+1,2)="R",TRIM(INDEX(OpCode!$A$2:$J$257,HEX2DEC($A35)*16+HEX2DEC(O$1)+1,3)&amp;CHAR(10)&amp;INDEX(OpCode!$A$2:$J$257,HEX2DEC($A35)*16+HEX2DEC(O$1)+1,4))," ")</f>
        <v xml:space="preserve"> </v>
      </c>
      <c r="P35" s="14" t="str">
        <f>IF(INDEX(OpCode!$A$2:$J$257,HEX2DEC($A35)*16+HEX2DEC(P$1)+1,2)="R",TRIM(INDEX(OpCode!$A$2:$J$257,HEX2DEC($A35)*16+HEX2DEC(P$1)+1,3)&amp;CHAR(10)&amp;INDEX(OpCode!$A$2:$J$257,HEX2DEC($A35)*16+HEX2DEC(P$1)+1,4))," ")</f>
        <v xml:space="preserve"> </v>
      </c>
      <c r="Q35" s="14" t="str">
        <f>IF(INDEX(OpCode!$A$2:$J$257,HEX2DEC($A35)*16+HEX2DEC(Q$1)+1,2)="R",TRIM(INDEX(OpCode!$A$2:$J$257,HEX2DEC($A35)*16+HEX2DEC(Q$1)+1,3)&amp;CHAR(10)&amp;INDEX(OpCode!$A$2:$J$257,HEX2DEC($A35)*16+HEX2DEC(Q$1)+1,4))," ")</f>
        <v>BBS7
dp,rel8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50"/>
  <sheetViews>
    <sheetView topLeftCell="A304" workbookViewId="0">
      <selection sqref="A1:A350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65C02</v>
      </c>
    </row>
    <row r="3" spans="1:1" x14ac:dyDescent="0.2">
      <c r="A3" s="5" t="s">
        <v>213</v>
      </c>
    </row>
    <row r="4" spans="1:1" x14ac:dyDescent="0.2">
      <c r="A4" s="5" t="str">
        <f>"* "&amp;Intro!B4</f>
        <v>* http://6502.org/tutorials/65c816opcodes.html</v>
      </c>
    </row>
    <row r="6" spans="1:1" x14ac:dyDescent="0.2">
      <c r="A6" s="5" t="s">
        <v>209</v>
      </c>
    </row>
    <row r="8" spans="1:1" x14ac:dyDescent="0.2">
      <c r="A8" s="5" t="s">
        <v>210</v>
      </c>
    </row>
    <row r="9" spans="1:1" x14ac:dyDescent="0.2">
      <c r="A9" s="5" t="s">
        <v>223</v>
      </c>
    </row>
    <row r="10" spans="1:1" x14ac:dyDescent="0.2">
      <c r="A10" s="5" t="s">
        <v>225</v>
      </c>
    </row>
    <row r="11" spans="1:1" x14ac:dyDescent="0.2">
      <c r="A11" s="5" t="str">
        <f>"| **"&amp;Intro!A7&amp;"** | "&amp;Intro!B7&amp;" |"</f>
        <v>| **A** | the accumulator |</v>
      </c>
    </row>
    <row r="12" spans="1:1" x14ac:dyDescent="0.2">
      <c r="A12" s="5" t="str">
        <f>"| **"&amp;Intro!A8&amp;"** | "&amp;Intro!B8&amp;" |"</f>
        <v>| **P** | the processor status register |</v>
      </c>
    </row>
    <row r="13" spans="1:1" x14ac:dyDescent="0.2">
      <c r="A13" s="5" t="str">
        <f>"| **"&amp;Intro!A9&amp;"** | "&amp;Intro!B9&amp;" |"</f>
        <v>| **PC** | the 16-bit program counter |</v>
      </c>
    </row>
    <row r="14" spans="1:1" x14ac:dyDescent="0.2">
      <c r="A14" s="5" t="str">
        <f>"| **"&amp;Intro!A10&amp;"** | "&amp;Intro!B10&amp;" |"</f>
        <v>| **S** | the 8-bit stack pointer |</v>
      </c>
    </row>
    <row r="15" spans="1:1" x14ac:dyDescent="0.2">
      <c r="A15" s="5" t="str">
        <f>"| **"&amp;Intro!A11&amp;"** | "&amp;Intro!B11&amp;" |"</f>
        <v>| **X** | the 8-bit X index register |</v>
      </c>
    </row>
    <row r="16" spans="1:1" x14ac:dyDescent="0.2">
      <c r="A16" s="5" t="str">
        <f>"| **"&amp;Intro!A12&amp;"** | "&amp;Intro!B12&amp;" |"</f>
        <v>| **Y** | the 8-bit Y index register |</v>
      </c>
    </row>
    <row r="19" spans="1:1" x14ac:dyDescent="0.2">
      <c r="A19" s="5" t="s">
        <v>211</v>
      </c>
    </row>
    <row r="20" spans="1:1" x14ac:dyDescent="0.2">
      <c r="A20" s="5" t="s">
        <v>346</v>
      </c>
    </row>
    <row r="21" spans="1:1" x14ac:dyDescent="0.2">
      <c r="A21" s="5" t="s">
        <v>347</v>
      </c>
    </row>
    <row r="22" spans="1:1" x14ac:dyDescent="0.2">
      <c r="A22" s="5" t="str">
        <f>"| **"&amp;Intro!E7&amp;"** |  "&amp;Intro!D7&amp;"  | "&amp;Intro!F7&amp;" |"</f>
        <v>| **c** |  0  | the carry flag |</v>
      </c>
    </row>
    <row r="23" spans="1:1" x14ac:dyDescent="0.2">
      <c r="A23" s="5" t="str">
        <f>"| **"&amp;Intro!E8&amp;"** |  "&amp;Intro!D8&amp;"  | "&amp;Intro!F8&amp;" |"</f>
        <v>| **z** |  1  | the zero flag |</v>
      </c>
    </row>
    <row r="24" spans="1:1" x14ac:dyDescent="0.2">
      <c r="A24" s="5" t="str">
        <f>"| **"&amp;Intro!E9&amp;"** |  "&amp;Intro!D9&amp;"  | "&amp;Intro!F9&amp;" |"</f>
        <v>| **i** |  2  | the interrupt disable flag |</v>
      </c>
    </row>
    <row r="25" spans="1:1" x14ac:dyDescent="0.2">
      <c r="A25" s="5" t="str">
        <f>"| **"&amp;Intro!E10&amp;"** |  "&amp;Intro!D10&amp;"  | "&amp;Intro!F10&amp;" |"</f>
        <v>| **d** |  3  | the decimal mode flag |</v>
      </c>
    </row>
    <row r="26" spans="1:1" x14ac:dyDescent="0.2">
      <c r="A26" s="5" t="str">
        <f>"| **"&amp;Intro!E11&amp;"** |  "&amp;Intro!D11&amp;"  | "&amp;Intro!F11&amp;" |"</f>
        <v>| **b** |  4  | the break flag |</v>
      </c>
    </row>
    <row r="27" spans="1:1" x14ac:dyDescent="0.2">
      <c r="A27" s="5" t="str">
        <f>"| **"&amp;Intro!E12&amp;"** |  "&amp;Intro!D12&amp;"  | "&amp;Intro!F12&amp;" |"</f>
        <v>| **-** |  5  | unused (always 1) |</v>
      </c>
    </row>
    <row r="28" spans="1:1" x14ac:dyDescent="0.2">
      <c r="A28" s="5" t="str">
        <f>"| **"&amp;Intro!E13&amp;"** |  "&amp;Intro!D13&amp;"  | "&amp;Intro!F13&amp;" |"</f>
        <v>| **v** |  6  | the overflow flag |</v>
      </c>
    </row>
    <row r="29" spans="1:1" x14ac:dyDescent="0.2">
      <c r="A29" s="5" t="str">
        <f>"| **"&amp;Intro!E14&amp;"** |  "&amp;Intro!D14&amp;"  | "&amp;Intro!F14&amp;" |"</f>
        <v>| **n** |  7  | the negative flag |</v>
      </c>
    </row>
    <row r="31" spans="1:1" x14ac:dyDescent="0.2">
      <c r="A31" s="5" t="s">
        <v>227</v>
      </c>
    </row>
    <row r="32" spans="1:1" x14ac:dyDescent="0.2">
      <c r="A32" s="5" t="s">
        <v>228</v>
      </c>
    </row>
    <row r="33" spans="1:1" x14ac:dyDescent="0.2">
      <c r="A33" s="5" t="s">
        <v>226</v>
      </c>
    </row>
    <row r="34" spans="1:1" x14ac:dyDescent="0.2">
      <c r="A34" s="5" t="str">
        <f>"| **"&amp;Intro!H7&amp;"** | "&amp;Intro!I7&amp;" |"</f>
        <v>| **(abs)** | (absolute) |</v>
      </c>
    </row>
    <row r="35" spans="1:1" x14ac:dyDescent="0.2">
      <c r="A35" s="5" t="str">
        <f>"| **"&amp;Intro!H8&amp;"** | "&amp;Intro!I8&amp;" |"</f>
        <v>| **(abs,X)** | (absolute,X) |</v>
      </c>
    </row>
    <row r="36" spans="1:1" x14ac:dyDescent="0.2">
      <c r="A36" s="5" t="str">
        <f>"| **"&amp;Intro!H9&amp;"** | "&amp;Intro!I9&amp;" |"</f>
        <v>| **(dp)** | (direct page) |</v>
      </c>
    </row>
    <row r="37" spans="1:1" x14ac:dyDescent="0.2">
      <c r="A37" s="5" t="str">
        <f>"| **"&amp;Intro!H10&amp;"** | "&amp;Intro!I10&amp;" |"</f>
        <v>| **(dp),Y** | (direct page),Y |</v>
      </c>
    </row>
    <row r="38" spans="1:1" x14ac:dyDescent="0.2">
      <c r="A38" s="5" t="str">
        <f>"| **"&amp;Intro!H11&amp;"** | "&amp;Intro!I11&amp;" |"</f>
        <v>| **(dp,X)** | (direct page,X) |</v>
      </c>
    </row>
    <row r="39" spans="1:1" x14ac:dyDescent="0.2">
      <c r="A39" s="5" t="str">
        <f>"| **"&amp;Intro!H12&amp;"** | "&amp;Intro!I12&amp;" |"</f>
        <v>| **abs** | absolute |</v>
      </c>
    </row>
    <row r="40" spans="1:1" x14ac:dyDescent="0.2">
      <c r="A40" s="5" t="str">
        <f>"| **"&amp;Intro!H13&amp;"** | "&amp;Intro!I13&amp;" |"</f>
        <v>| **abs,X** | absolute,X |</v>
      </c>
    </row>
    <row r="41" spans="1:1" x14ac:dyDescent="0.2">
      <c r="A41" s="5" t="str">
        <f>"| **"&amp;Intro!H14&amp;"** | "&amp;Intro!I14&amp;" |"</f>
        <v>| **abs,Y** | absolute,Y |</v>
      </c>
    </row>
    <row r="42" spans="1:1" x14ac:dyDescent="0.2">
      <c r="A42" s="5" t="str">
        <f>"| **"&amp;Intro!H15&amp;"** | "&amp;Intro!I15&amp;" |"</f>
        <v>| **dp** | direct page |</v>
      </c>
    </row>
    <row r="43" spans="1:1" x14ac:dyDescent="0.2">
      <c r="A43" s="5" t="str">
        <f>"| **"&amp;Intro!H16&amp;"** | "&amp;Intro!I16&amp;" |"</f>
        <v>| **dp,rel8** | direct page + branch |</v>
      </c>
    </row>
    <row r="44" spans="1:1" x14ac:dyDescent="0.2">
      <c r="A44" s="5" t="str">
        <f>"| **"&amp;Intro!H17&amp;"** | "&amp;Intro!I17&amp;" |"</f>
        <v>| **dp,X** | direct page,X |</v>
      </c>
    </row>
    <row r="45" spans="1:1" x14ac:dyDescent="0.2">
      <c r="A45" s="5" t="str">
        <f>"| **"&amp;Intro!H18&amp;"** | "&amp;Intro!I18&amp;" |"</f>
        <v>| **dp,Y** | direct page,Y |</v>
      </c>
    </row>
    <row r="46" spans="1:1" x14ac:dyDescent="0.2">
      <c r="A46" s="5" t="str">
        <f>"| **"&amp;Intro!H19&amp;"** | "&amp;Intro!I19&amp;" |"</f>
        <v>| **imm** | immediate |</v>
      </c>
    </row>
    <row r="47" spans="1:1" x14ac:dyDescent="0.2">
      <c r="A47" s="5" t="str">
        <f>"| **"&amp;Intro!H20&amp;"** | "&amp;Intro!I20&amp;" |"</f>
        <v>| **imp** | implicit |</v>
      </c>
    </row>
    <row r="48" spans="1:1" x14ac:dyDescent="0.2">
      <c r="A48" s="5" t="str">
        <f>"| **"&amp;Intro!H21&amp;"** | "&amp;Intro!I21&amp;" |"</f>
        <v>| **rel8** | PC relative (8bit) |</v>
      </c>
    </row>
    <row r="50" spans="1:1" x14ac:dyDescent="0.2">
      <c r="A50" s="5" t="s">
        <v>205</v>
      </c>
    </row>
    <row r="52" spans="1:1" ht="10.5" customHeight="1" x14ac:dyDescent="0.2">
      <c r="A52" s="5" t="str">
        <f>"| "&amp;OpCode!A1&amp;" | "&amp;OpCode!C1&amp;" | "&amp;OpCode!D1&amp;" | "&amp;OpCode!E1&amp;" | "&amp;OpCode!G1&amp;" | "&amp;OpCode!H1&amp;" | ```"&amp;OpCode!I1&amp;"``` | "&amp;OpCode!J1&amp;" | " &amp;OpCode!K1&amp;" |"</f>
        <v>| OpCode | Inst | Param | Group | Length | Cycles | ```NV-BDIZC``` | Example | Description |</v>
      </c>
    </row>
    <row r="53" spans="1:1" x14ac:dyDescent="0.2">
      <c r="A53" s="9" t="s">
        <v>348</v>
      </c>
    </row>
    <row r="54" spans="1:1" x14ac:dyDescent="0.2">
      <c r="A54" s="5" t="str">
        <f>"| "&amp;IF(OpCode!B2="",""&amp;OpCode!A2&amp;"","*"&amp;OpCode!A2&amp;"*")&amp;" | "&amp;IF(OpCode!B2="",""&amp;OpCode!C2&amp;"","*"&amp;OpCode!C2&amp;"*")&amp;" | "&amp;OpCode!D2&amp;" | "&amp;OpCode!E2&amp;" | "&amp;OpCode!G2&amp;" | "&amp;SUBSTITUTE(OpCode!H2,"|","/")&amp;" | ```"&amp;OpCode!I2&amp;"``` | "&amp;OpCode!J2&amp;" | "&amp;OpCode!K2&amp;" |"</f>
        <v>| 00 | BRK |  | control | 2 | 7 | ```....01..``` | BRK | special |</v>
      </c>
    </row>
    <row r="55" spans="1:1" x14ac:dyDescent="0.2">
      <c r="A55" s="5" t="str">
        <f>"| "&amp;IF(OpCode!B3="",""&amp;OpCode!A3&amp;"","*"&amp;OpCode!A3&amp;"*")&amp;" | "&amp;IF(OpCode!B3="",""&amp;OpCode!C3&amp;"","*"&amp;OpCode!C3&amp;"*")&amp;" | "&amp;OpCode!D3&amp;" | "&amp;OpCode!E3&amp;" | "&amp;OpCode!G3&amp;" | "&amp;SUBSTITUTE(OpCode!H3,"|","/")&amp;" | ```"&amp;OpCode!I3&amp;"``` | "&amp;OpCode!J3&amp;" | "&amp;OpCode!K3&amp;" |"</f>
        <v>| 01 | ORA | (dp,X) | logic | 2 | 6 | ```N.....Z.``` | ORA ($10,X) | MA &lt;- byte_2 + X; MA &lt;- (MA); MV &lt;- (MA); t &lt;- A or MV; A &lt;- t |</v>
      </c>
    </row>
    <row r="56" spans="1:1" x14ac:dyDescent="0.2">
      <c r="A56" s="5" t="str">
        <f>"| "&amp;IF(OpCode!B4="",""&amp;OpCode!A4&amp;"","*"&amp;OpCode!A4&amp;"*")&amp;" | "&amp;IF(OpCode!B4="",""&amp;OpCode!C4&amp;"","*"&amp;OpCode!C4&amp;"*")&amp;" | "&amp;OpCode!D4&amp;" | "&amp;OpCode!E4&amp;" | "&amp;OpCode!G4&amp;" | "&amp;SUBSTITUTE(OpCode!H4,"|","/")&amp;" | ```"&amp;OpCode!I4&amp;"``` | "&amp;OpCode!J4&amp;" | "&amp;OpCode!K4&amp;" |"</f>
        <v>| *02* | *NOP* |  | control | 1 | 2 | ```........``` | NOP | No operation |</v>
      </c>
    </row>
    <row r="57" spans="1:1" x14ac:dyDescent="0.2">
      <c r="A57" s="5" t="str">
        <f>"| "&amp;IF(OpCode!B5="",""&amp;OpCode!A5&amp;"","*"&amp;OpCode!A5&amp;"*")&amp;" | "&amp;IF(OpCode!B5="",""&amp;OpCode!C5&amp;"","*"&amp;OpCode!C5&amp;"*")&amp;" | "&amp;OpCode!D5&amp;" | "&amp;OpCode!E5&amp;" | "&amp;OpCode!G5&amp;" | "&amp;SUBSTITUTE(OpCode!H5,"|","/")&amp;" | ```"&amp;OpCode!I5&amp;"``` | "&amp;OpCode!J5&amp;" | "&amp;OpCode!K5&amp;" |"</f>
        <v>| *03* | *NOP* |  | control | 1 | 2 | ```........``` | NOP | No operation |</v>
      </c>
    </row>
    <row r="58" spans="1:1" x14ac:dyDescent="0.2">
      <c r="A58" s="5" t="str">
        <f>"| "&amp;IF(OpCode!B6="",""&amp;OpCode!A6&amp;"","*"&amp;OpCode!A6&amp;"*")&amp;" | "&amp;IF(OpCode!B6="",""&amp;OpCode!C6&amp;"","*"&amp;OpCode!C6&amp;"*")&amp;" | "&amp;OpCode!D6&amp;" | "&amp;OpCode!E6&amp;" | "&amp;OpCode!G6&amp;" | "&amp;SUBSTITUTE(OpCode!H6,"|","/")&amp;" | ```"&amp;OpCode!I6&amp;"``` | "&amp;OpCode!J6&amp;" | "&amp;OpCode!K6&amp;" |"</f>
        <v>| 04 | TSB | dp | logic | 2 | 5 | ```......Z.``` | TSB $10 | Test Set Bit |</v>
      </c>
    </row>
    <row r="59" spans="1:1" x14ac:dyDescent="0.2">
      <c r="A59" s="5" t="str">
        <f>"| "&amp;IF(OpCode!B7="",""&amp;OpCode!A7&amp;"","*"&amp;OpCode!A7&amp;"*")&amp;" | "&amp;IF(OpCode!B7="",""&amp;OpCode!C7&amp;"","*"&amp;OpCode!C7&amp;"*")&amp;" | "&amp;OpCode!D7&amp;" | "&amp;OpCode!E7&amp;" | "&amp;OpCode!G7&amp;" | "&amp;SUBSTITUTE(OpCode!H7,"|","/")&amp;" | ```"&amp;OpCode!I7&amp;"``` | "&amp;OpCode!J7&amp;" | "&amp;OpCode!K7&amp;" |"</f>
        <v>| 05 | ORA | dp | logic | 2 | 3 | ```N.....Z.``` | ORA $10 | MA &lt;- byte_2; MV &lt;- (MA); t &lt;- A or MV; A &lt;- t |</v>
      </c>
    </row>
    <row r="60" spans="1:1" x14ac:dyDescent="0.2">
      <c r="A60" s="5" t="str">
        <f>"| "&amp;IF(OpCode!B8="",""&amp;OpCode!A8&amp;"","*"&amp;OpCode!A8&amp;"*")&amp;" | "&amp;IF(OpCode!B8="",""&amp;OpCode!C8&amp;"","*"&amp;OpCode!C8&amp;"*")&amp;" | "&amp;OpCode!D8&amp;" | "&amp;OpCode!E8&amp;" | "&amp;OpCode!G8&amp;" | "&amp;SUBSTITUTE(OpCode!H8,"|","/")&amp;" | ```"&amp;OpCode!I8&amp;"``` | "&amp;OpCode!J8&amp;" | "&amp;OpCode!K8&amp;" |"</f>
        <v>| 06 | ASL | dp | logic | 2 | 5 | ```N.....ZC``` | ASL $10 | MA &lt;- byte_2; MV &lt;- (MA); t &lt;- MV &lt;&lt; 1; (MA) &lt;- t |</v>
      </c>
    </row>
    <row r="61" spans="1:1" x14ac:dyDescent="0.2">
      <c r="A61" s="5" t="str">
        <f>"| "&amp;IF(OpCode!B9="",""&amp;OpCode!A9&amp;"","*"&amp;OpCode!A9&amp;"*")&amp;" | "&amp;IF(OpCode!B9="",""&amp;OpCode!C9&amp;"","*"&amp;OpCode!C9&amp;"*")&amp;" | "&amp;OpCode!D9&amp;" | "&amp;OpCode!E9&amp;" | "&amp;OpCode!G9&amp;" | "&amp;SUBSTITUTE(OpCode!H9,"|","/")&amp;" | ```"&amp;OpCode!I9&amp;"``` | "&amp;OpCode!J9&amp;" | "&amp;OpCode!K9&amp;" |"</f>
        <v>| *07* | *RMB0* | dp | logic | 2 | 5 | ```......Z.``` | RMB0 $10 | Reset Memory Bit. Resets a specific bit of a byte held on zero page.  |</v>
      </c>
    </row>
    <row r="62" spans="1:1" x14ac:dyDescent="0.2">
      <c r="A62" s="5" t="str">
        <f>"| "&amp;IF(OpCode!B10="",""&amp;OpCode!A10&amp;"","*"&amp;OpCode!A10&amp;"*")&amp;" | "&amp;IF(OpCode!B10="",""&amp;OpCode!C10&amp;"","*"&amp;OpCode!C10&amp;"*")&amp;" | "&amp;OpCode!D10&amp;" | "&amp;OpCode!E10&amp;" | "&amp;OpCode!G10&amp;" | "&amp;SUBSTITUTE(OpCode!H10,"|","/")&amp;" | ```"&amp;OpCode!I10&amp;"``` | "&amp;OpCode!J10&amp;" | "&amp;OpCode!K10&amp;" |"</f>
        <v>| 08 | PHP |  | stack | 1 | 3 | ```........``` | PHP | (SP) &lt;- P |</v>
      </c>
    </row>
    <row r="63" spans="1:1" x14ac:dyDescent="0.2">
      <c r="A63" s="5" t="str">
        <f>"| "&amp;IF(OpCode!B11="",""&amp;OpCode!A11&amp;"","*"&amp;OpCode!A11&amp;"*")&amp;" | "&amp;IF(OpCode!B11="",""&amp;OpCode!C11&amp;"","*"&amp;OpCode!C11&amp;"*")&amp;" | "&amp;OpCode!D11&amp;" | "&amp;OpCode!E11&amp;" | "&amp;OpCode!G11&amp;" | "&amp;SUBSTITUTE(OpCode!H11,"|","/")&amp;" | ```"&amp;OpCode!I11&amp;"``` | "&amp;OpCode!J11&amp;" | "&amp;OpCode!K11&amp;" |"</f>
        <v>| 09 | ORA | imm | logic | 2 | 2 | ```N.....Z.``` | ORA #$54 | t &lt;- A or byte_2; A &lt;- t |</v>
      </c>
    </row>
    <row r="64" spans="1:1" x14ac:dyDescent="0.2">
      <c r="A64" s="5" t="str">
        <f>"| "&amp;IF(OpCode!B12="",""&amp;OpCode!A12&amp;"","*"&amp;OpCode!A12&amp;"*")&amp;" | "&amp;IF(OpCode!B12="",""&amp;OpCode!C12&amp;"","*"&amp;OpCode!C12&amp;"*")&amp;" | "&amp;OpCode!D12&amp;" | "&amp;OpCode!E12&amp;" | "&amp;OpCode!G12&amp;" | "&amp;SUBSTITUTE(OpCode!H12,"|","/")&amp;" | ```"&amp;OpCode!I12&amp;"``` | "&amp;OpCode!J12&amp;" | "&amp;OpCode!K12&amp;" |"</f>
        <v>| 0A | ASL | A | logic | 1 | 2 | ```N.....ZC``` | ASL | t &lt;- A &lt;&lt; 1; A &lt;- t |</v>
      </c>
    </row>
    <row r="65" spans="1:1" x14ac:dyDescent="0.2">
      <c r="A65" s="5" t="str">
        <f>"| "&amp;IF(OpCode!B13="",""&amp;OpCode!A13&amp;"","*"&amp;OpCode!A13&amp;"*")&amp;" | "&amp;IF(OpCode!B13="",""&amp;OpCode!C13&amp;"","*"&amp;OpCode!C13&amp;"*")&amp;" | "&amp;OpCode!D13&amp;" | "&amp;OpCode!E13&amp;" | "&amp;OpCode!G13&amp;" | "&amp;SUBSTITUTE(OpCode!H13,"|","/")&amp;" | ```"&amp;OpCode!I13&amp;"``` | "&amp;OpCode!J13&amp;" | "&amp;OpCode!K13&amp;" |"</f>
        <v>| *0B* | *NOP* |  | control | 1 | 2 | ```........``` | NOP | No operation |</v>
      </c>
    </row>
    <row r="66" spans="1:1" x14ac:dyDescent="0.2">
      <c r="A66" s="5" t="str">
        <f>"| "&amp;IF(OpCode!B14="",""&amp;OpCode!A14&amp;"","*"&amp;OpCode!A14&amp;"*")&amp;" | "&amp;IF(OpCode!B14="",""&amp;OpCode!C14&amp;"","*"&amp;OpCode!C14&amp;"*")&amp;" | "&amp;OpCode!D14&amp;" | "&amp;OpCode!E14&amp;" | "&amp;OpCode!G14&amp;" | "&amp;SUBSTITUTE(OpCode!H14,"|","/")&amp;" | ```"&amp;OpCode!I14&amp;"``` | "&amp;OpCode!J14&amp;" | "&amp;OpCode!K14&amp;" |"</f>
        <v>| 0C | TSB | abs | logic | 3 | 6 | ```......Z.``` | TSB $9876 | Test Set Bit |</v>
      </c>
    </row>
    <row r="67" spans="1:1" x14ac:dyDescent="0.2">
      <c r="A67" s="5" t="str">
        <f>"| "&amp;IF(OpCode!B15="",""&amp;OpCode!A15&amp;"","*"&amp;OpCode!A15&amp;"*")&amp;" | "&amp;IF(OpCode!B15="",""&amp;OpCode!C15&amp;"","*"&amp;OpCode!C15&amp;"*")&amp;" | "&amp;OpCode!D15&amp;" | "&amp;OpCode!E15&amp;" | "&amp;OpCode!G15&amp;" | "&amp;SUBSTITUTE(OpCode!H15,"|","/")&amp;" | ```"&amp;OpCode!I15&amp;"``` | "&amp;OpCode!J15&amp;" | "&amp;OpCode!K15&amp;" |"</f>
        <v>| 0D | ORA | abs | logic | 3 | 4 | ```N.....Z.``` | ORA $9876 | MA &lt;- byte_2 + 256 * byte_3; MV &lt;- (MA); t &lt;- A or MV; A &lt;- t |</v>
      </c>
    </row>
    <row r="68" spans="1:1" x14ac:dyDescent="0.2">
      <c r="A68" s="5" t="str">
        <f>"| "&amp;IF(OpCode!B16="",""&amp;OpCode!A16&amp;"","*"&amp;OpCode!A16&amp;"*")&amp;" | "&amp;IF(OpCode!B16="",""&amp;OpCode!C16&amp;"","*"&amp;OpCode!C16&amp;"*")&amp;" | "&amp;OpCode!D16&amp;" | "&amp;OpCode!E16&amp;" | "&amp;OpCode!G16&amp;" | "&amp;SUBSTITUTE(OpCode!H16,"|","/")&amp;" | ```"&amp;OpCode!I16&amp;"``` | "&amp;OpCode!J16&amp;" | "&amp;OpCode!K16&amp;" |"</f>
        <v>| 0E | ASL | abs | logic | 3 | 6 | ```N.....ZC``` | ASL $9876 | MA &lt;- byte_2 + 256 * byte_3; MV &lt;- (MA); t &lt;- MV &lt;&lt; 1; (MA) &lt;- t |</v>
      </c>
    </row>
    <row r="69" spans="1:1" x14ac:dyDescent="0.2">
      <c r="A69" s="5" t="str">
        <f>"| "&amp;IF(OpCode!B17="",""&amp;OpCode!A17&amp;"","*"&amp;OpCode!A17&amp;"*")&amp;" | "&amp;IF(OpCode!B17="",""&amp;OpCode!C17&amp;"","*"&amp;OpCode!C17&amp;"*")&amp;" | "&amp;OpCode!D17&amp;" | "&amp;OpCode!E17&amp;" | "&amp;OpCode!G17&amp;" | "&amp;SUBSTITUTE(OpCode!H17,"|","/")&amp;" | ```"&amp;OpCode!I17&amp;"``` | "&amp;OpCode!J17&amp;" | "&amp;OpCode!K17&amp;" |"</f>
        <v>| *0F* | *BBR0* | dp,rel8 | branch | 3 | 2/3 | ```........``` | BBR0 $10,LABEL | Branch on Bit Reset. Tests a specific bit of a byte held on zero page and causes a branch of the bit is resest (0) |</v>
      </c>
    </row>
    <row r="70" spans="1:1" x14ac:dyDescent="0.2">
      <c r="A70" s="5" t="str">
        <f>"| "&amp;IF(OpCode!B18="",""&amp;OpCode!A18&amp;"","*"&amp;OpCode!A18&amp;"*")&amp;" | "&amp;IF(OpCode!B18="",""&amp;OpCode!C18&amp;"","*"&amp;OpCode!C18&amp;"*")&amp;" | "&amp;OpCode!D18&amp;" | "&amp;OpCode!E18&amp;" | "&amp;OpCode!G18&amp;" | "&amp;SUBSTITUTE(OpCode!H18,"|","/")&amp;" | ```"&amp;OpCode!I18&amp;"``` | "&amp;OpCode!J18&amp;" | "&amp;OpCode!K18&amp;" |"</f>
        <v>| 10 | BPL | rel8 | branch | 2 | 2/3 | ```........``` | BPL LABEL | if !N , PC &lt;- PC + byte_2 |</v>
      </c>
    </row>
    <row r="71" spans="1:1" x14ac:dyDescent="0.2">
      <c r="A71" s="5" t="str">
        <f>"| "&amp;IF(OpCode!B19="",""&amp;OpCode!A19&amp;"","*"&amp;OpCode!A19&amp;"*")&amp;" | "&amp;IF(OpCode!B19="",""&amp;OpCode!C19&amp;"","*"&amp;OpCode!C19&amp;"*")&amp;" | "&amp;OpCode!D19&amp;" | "&amp;OpCode!E19&amp;" | "&amp;OpCode!G19&amp;" | "&amp;SUBSTITUTE(OpCode!H19,"|","/")&amp;" | ```"&amp;OpCode!I19&amp;"``` | "&amp;OpCode!J19&amp;" | "&amp;OpCode!K19&amp;" |"</f>
        <v>| 11 | ORA | (dp),Y | logic | 2 | 5 | ```N.....Z.``` | ORA ($10),Y | MA &lt;- byte_2; MA &lt;- (MA) + Y; MV &lt;- (MA); t &lt;- A or MV; A &lt;- t |</v>
      </c>
    </row>
    <row r="72" spans="1:1" x14ac:dyDescent="0.2">
      <c r="A72" s="5" t="str">
        <f>"| "&amp;IF(OpCode!B20="",""&amp;OpCode!A20&amp;"","*"&amp;OpCode!A20&amp;"*")&amp;" | "&amp;IF(OpCode!B20="",""&amp;OpCode!C20&amp;"","*"&amp;OpCode!C20&amp;"*")&amp;" | "&amp;OpCode!D20&amp;" | "&amp;OpCode!E20&amp;" | "&amp;OpCode!G20&amp;" | "&amp;SUBSTITUTE(OpCode!H20,"|","/")&amp;" | ```"&amp;OpCode!I20&amp;"``` | "&amp;OpCode!J20&amp;" | "&amp;OpCode!K20&amp;" |"</f>
        <v>| 12 | ORA | (dp) | logic | 2 | 5 | ```N.....Z.``` | ORA ($10) | MA &lt;- byte_2; MA &lt;- (MA); MV &lt;- (MA); t &lt;- A or MV; A &lt;- t |</v>
      </c>
    </row>
    <row r="73" spans="1:1" x14ac:dyDescent="0.2">
      <c r="A73" s="5" t="str">
        <f>"| "&amp;IF(OpCode!B21="",""&amp;OpCode!A21&amp;"","*"&amp;OpCode!A21&amp;"*")&amp;" | "&amp;IF(OpCode!B21="",""&amp;OpCode!C21&amp;"","*"&amp;OpCode!C21&amp;"*")&amp;" | "&amp;OpCode!D21&amp;" | "&amp;OpCode!E21&amp;" | "&amp;OpCode!G21&amp;" | "&amp;SUBSTITUTE(OpCode!H21,"|","/")&amp;" | ```"&amp;OpCode!I21&amp;"``` | "&amp;OpCode!J21&amp;" | "&amp;OpCode!K21&amp;" |"</f>
        <v>| *13* | *NOP* |  | control | 1 | 2 | ```........``` | NOP | No operation |</v>
      </c>
    </row>
    <row r="74" spans="1:1" x14ac:dyDescent="0.2">
      <c r="A74" s="5" t="str">
        <f>"| "&amp;IF(OpCode!B22="",""&amp;OpCode!A22&amp;"","*"&amp;OpCode!A22&amp;"*")&amp;" | "&amp;IF(OpCode!B22="",""&amp;OpCode!C22&amp;"","*"&amp;OpCode!C22&amp;"*")&amp;" | "&amp;OpCode!D22&amp;" | "&amp;OpCode!E22&amp;" | "&amp;OpCode!G22&amp;" | "&amp;SUBSTITUTE(OpCode!H22,"|","/")&amp;" | ```"&amp;OpCode!I22&amp;"``` | "&amp;OpCode!J22&amp;" | "&amp;OpCode!K22&amp;" |"</f>
        <v>| 14 | TRB | dp | logic | 2 | 5 | ```......Z.``` | TRB $10 | Teset Reset Bit |</v>
      </c>
    </row>
    <row r="75" spans="1:1" x14ac:dyDescent="0.2">
      <c r="A75" s="5" t="str">
        <f>"| "&amp;IF(OpCode!B23="",""&amp;OpCode!A23&amp;"","*"&amp;OpCode!A23&amp;"*")&amp;" | "&amp;IF(OpCode!B23="",""&amp;OpCode!C23&amp;"","*"&amp;OpCode!C23&amp;"*")&amp;" | "&amp;OpCode!D23&amp;" | "&amp;OpCode!E23&amp;" | "&amp;OpCode!G23&amp;" | "&amp;SUBSTITUTE(OpCode!H23,"|","/")&amp;" | ```"&amp;OpCode!I23&amp;"``` | "&amp;OpCode!J23&amp;" | "&amp;OpCode!K23&amp;" |"</f>
        <v>| 15 | ORA | dp,X | logic | 2 | 4 | ```N.....Z.``` | ORA $10,X | MA &lt;- byte_2 + X; MV &lt;- (MA); t &lt;- A or MV; A &lt;- t |</v>
      </c>
    </row>
    <row r="76" spans="1:1" x14ac:dyDescent="0.2">
      <c r="A76" s="5" t="str">
        <f>"| "&amp;IF(OpCode!B24="",""&amp;OpCode!A24&amp;"","*"&amp;OpCode!A24&amp;"*")&amp;" | "&amp;IF(OpCode!B24="",""&amp;OpCode!C24&amp;"","*"&amp;OpCode!C24&amp;"*")&amp;" | "&amp;OpCode!D24&amp;" | "&amp;OpCode!E24&amp;" | "&amp;OpCode!G24&amp;" | "&amp;SUBSTITUTE(OpCode!H24,"|","/")&amp;" | ```"&amp;OpCode!I24&amp;"``` | "&amp;OpCode!J24&amp;" | "&amp;OpCode!K24&amp;" |"</f>
        <v>| 16 | ASL | dp,X | logic | 2 | 6 | ```N.....ZC``` | ASL $10,X | MA &lt;- byte_2 + X; MV &lt;- (MA); t &lt;- MV &lt;&lt; 1; (MA) &lt;- t |</v>
      </c>
    </row>
    <row r="77" spans="1:1" x14ac:dyDescent="0.2">
      <c r="A77" s="5" t="str">
        <f>"| "&amp;IF(OpCode!B25="",""&amp;OpCode!A25&amp;"","*"&amp;OpCode!A25&amp;"*")&amp;" | "&amp;IF(OpCode!B25="",""&amp;OpCode!C25&amp;"","*"&amp;OpCode!C25&amp;"*")&amp;" | "&amp;OpCode!D25&amp;" | "&amp;OpCode!E25&amp;" | "&amp;OpCode!G25&amp;" | "&amp;SUBSTITUTE(OpCode!H25,"|","/")&amp;" | ```"&amp;OpCode!I25&amp;"``` | "&amp;OpCode!J25&amp;" | "&amp;OpCode!K25&amp;" |"</f>
        <v>| *17* | *RMB1* | dp | logic | 2 | 5 | ```......Z.``` | RMB1 $10 | Reset Memory Bit. Resets a specific bit of a byte held on zero page.  |</v>
      </c>
    </row>
    <row r="78" spans="1:1" x14ac:dyDescent="0.2">
      <c r="A78" s="5" t="str">
        <f>"| "&amp;IF(OpCode!B26="",""&amp;OpCode!A26&amp;"","*"&amp;OpCode!A26&amp;"*")&amp;" | "&amp;IF(OpCode!B26="",""&amp;OpCode!C26&amp;"","*"&amp;OpCode!C26&amp;"*")&amp;" | "&amp;OpCode!D26&amp;" | "&amp;OpCode!E26&amp;" | "&amp;OpCode!G26&amp;" | "&amp;SUBSTITUTE(OpCode!H26,"|","/")&amp;" | ```"&amp;OpCode!I26&amp;"``` | "&amp;OpCode!J26&amp;" | "&amp;OpCode!K26&amp;" |"</f>
        <v>| 18 | CLC |  | control | 1 | 2 | ```.......0``` | CLC | c &lt;- 0 |</v>
      </c>
    </row>
    <row r="79" spans="1:1" x14ac:dyDescent="0.2">
      <c r="A79" s="5" t="str">
        <f>"| "&amp;IF(OpCode!B27="",""&amp;OpCode!A27&amp;"","*"&amp;OpCode!A27&amp;"*")&amp;" | "&amp;IF(OpCode!B27="",""&amp;OpCode!C27&amp;"","*"&amp;OpCode!C27&amp;"*")&amp;" | "&amp;OpCode!D27&amp;" | "&amp;OpCode!E27&amp;" | "&amp;OpCode!G27&amp;" | "&amp;SUBSTITUTE(OpCode!H27,"|","/")&amp;" | ```"&amp;OpCode!I27&amp;"``` | "&amp;OpCode!J27&amp;" | "&amp;OpCode!K27&amp;" |"</f>
        <v>| 19 | ORA | abs,Y | logic | 3 | 4 | ```N.....Z.``` | ORA $9876,Y | MA &lt;- byte_2 + 256 * byte_3 + Y; MV &lt;- (MA); t &lt;- A or MV; A &lt;- t |</v>
      </c>
    </row>
    <row r="80" spans="1:1" x14ac:dyDescent="0.2">
      <c r="A80" s="5" t="str">
        <f>"| "&amp;IF(OpCode!B28="",""&amp;OpCode!A28&amp;"","*"&amp;OpCode!A28&amp;"*")&amp;" | "&amp;IF(OpCode!B28="",""&amp;OpCode!C28&amp;"","*"&amp;OpCode!C28&amp;"*")&amp;" | "&amp;OpCode!D28&amp;" | "&amp;OpCode!E28&amp;" | "&amp;OpCode!G28&amp;" | "&amp;SUBSTITUTE(OpCode!H28,"|","/")&amp;" | ```"&amp;OpCode!I28&amp;"``` | "&amp;OpCode!J28&amp;" | "&amp;OpCode!K28&amp;" |"</f>
        <v>| 1A | INC | A | arith | 1 | 2 | ```N.....Z.``` | INC A | A &lt;- A + 1 |</v>
      </c>
    </row>
    <row r="81" spans="1:1" x14ac:dyDescent="0.2">
      <c r="A81" s="5" t="str">
        <f>"| "&amp;IF(OpCode!B29="",""&amp;OpCode!A29&amp;"","*"&amp;OpCode!A29&amp;"*")&amp;" | "&amp;IF(OpCode!B29="",""&amp;OpCode!C29&amp;"","*"&amp;OpCode!C29&amp;"*")&amp;" | "&amp;OpCode!D29&amp;" | "&amp;OpCode!E29&amp;" | "&amp;OpCode!G29&amp;" | "&amp;SUBSTITUTE(OpCode!H29,"|","/")&amp;" | ```"&amp;OpCode!I29&amp;"``` | "&amp;OpCode!J29&amp;" | "&amp;OpCode!K29&amp;" |"</f>
        <v>| *1B* | *NOP* |  | control | 1 | 2 | ```........``` | NOP | No operation |</v>
      </c>
    </row>
    <row r="82" spans="1:1" x14ac:dyDescent="0.2">
      <c r="A82" s="5" t="str">
        <f>"| "&amp;IF(OpCode!B30="",""&amp;OpCode!A30&amp;"","*"&amp;OpCode!A30&amp;"*")&amp;" | "&amp;IF(OpCode!B30="",""&amp;OpCode!C30&amp;"","*"&amp;OpCode!C30&amp;"*")&amp;" | "&amp;OpCode!D30&amp;" | "&amp;OpCode!E30&amp;" | "&amp;OpCode!G30&amp;" | "&amp;SUBSTITUTE(OpCode!H30,"|","/")&amp;" | ```"&amp;OpCode!I30&amp;"``` | "&amp;OpCode!J30&amp;" | "&amp;OpCode!K30&amp;" |"</f>
        <v>| 1C | TRB | abs | logic | 3 | 6 | ```......Z.``` | TRB $9876 | Teset Reset Bit |</v>
      </c>
    </row>
    <row r="83" spans="1:1" x14ac:dyDescent="0.2">
      <c r="A83" s="5" t="str">
        <f>"| "&amp;IF(OpCode!B31="",""&amp;OpCode!A31&amp;"","*"&amp;OpCode!A31&amp;"*")&amp;" | "&amp;IF(OpCode!B31="",""&amp;OpCode!C31&amp;"","*"&amp;OpCode!C31&amp;"*")&amp;" | "&amp;OpCode!D31&amp;" | "&amp;OpCode!E31&amp;" | "&amp;OpCode!G31&amp;" | "&amp;SUBSTITUTE(OpCode!H31,"|","/")&amp;" | ```"&amp;OpCode!I31&amp;"``` | "&amp;OpCode!J31&amp;" | "&amp;OpCode!K31&amp;" |"</f>
        <v>| 1D | ORA | abs,X | logic | 3 | 4 | ```N.....Z.``` | ORA $9876,X | MA &lt;- byte_2 + 256 * byte_3 + X; MV &lt;- (MA); t &lt;- A or MV; A &lt;- t |</v>
      </c>
    </row>
    <row r="84" spans="1:1" x14ac:dyDescent="0.2">
      <c r="A84" s="5" t="str">
        <f>"| "&amp;IF(OpCode!B32="",""&amp;OpCode!A32&amp;"","*"&amp;OpCode!A32&amp;"*")&amp;" | "&amp;IF(OpCode!B32="",""&amp;OpCode!C32&amp;"","*"&amp;OpCode!C32&amp;"*")&amp;" | "&amp;OpCode!D32&amp;" | "&amp;OpCode!E32&amp;" | "&amp;OpCode!G32&amp;" | "&amp;SUBSTITUTE(OpCode!H32,"|","/")&amp;" | ```"&amp;OpCode!I32&amp;"``` | "&amp;OpCode!J32&amp;" | "&amp;OpCode!K32&amp;" |"</f>
        <v>| 1E | ASL | abs,X | logic | 3 | 7 | ```N.....ZC``` | ASL $9876,X | MA &lt;- byte_2 + 256 * byte_3 + X; MV &lt;- (MA); t &lt;- MV &lt;&lt; 1; (MA) &lt;- t |</v>
      </c>
    </row>
    <row r="85" spans="1:1" x14ac:dyDescent="0.2">
      <c r="A85" s="5" t="str">
        <f>"| "&amp;IF(OpCode!B33="",""&amp;OpCode!A33&amp;"","*"&amp;OpCode!A33&amp;"*")&amp;" | "&amp;IF(OpCode!B33="",""&amp;OpCode!C33&amp;"","*"&amp;OpCode!C33&amp;"*")&amp;" | "&amp;OpCode!D33&amp;" | "&amp;OpCode!E33&amp;" | "&amp;OpCode!G33&amp;" | "&amp;SUBSTITUTE(OpCode!H33,"|","/")&amp;" | ```"&amp;OpCode!I33&amp;"``` | "&amp;OpCode!J33&amp;" | "&amp;OpCode!K33&amp;" |"</f>
        <v>| *1F* | *BBR1* | dp,rel8 | branch | 3 | 2/3 | ```........``` | BBR1 $10,LABEL | Branch on Bit Reset. Tests a specific bit of a byte held on zero page and causes a branch of the bit is resest (0) |</v>
      </c>
    </row>
    <row r="86" spans="1:1" x14ac:dyDescent="0.2">
      <c r="A86" s="5" t="str">
        <f>"| "&amp;IF(OpCode!B34="",""&amp;OpCode!A34&amp;"","*"&amp;OpCode!A34&amp;"*")&amp;" | "&amp;IF(OpCode!B34="",""&amp;OpCode!C34&amp;"","*"&amp;OpCode!C34&amp;"*")&amp;" | "&amp;OpCode!D34&amp;" | "&amp;OpCode!E34&amp;" | "&amp;OpCode!G34&amp;" | "&amp;SUBSTITUTE(OpCode!H34,"|","/")&amp;" | ```"&amp;OpCode!I34&amp;"``` | "&amp;OpCode!J34&amp;" | "&amp;OpCode!K34&amp;" |"</f>
        <v>| 20 | JSR | abs | branch | 3 | 6 | ```........``` | JSR $1234 | MA &lt;- byte_2 + 256 * byte_3; (SP) &lt;- PC; PC &lt;- MA |</v>
      </c>
    </row>
    <row r="87" spans="1:1" x14ac:dyDescent="0.2">
      <c r="A87" s="5" t="str">
        <f>"| "&amp;IF(OpCode!B35="",""&amp;OpCode!A35&amp;"","*"&amp;OpCode!A35&amp;"*")&amp;" | "&amp;IF(OpCode!B35="",""&amp;OpCode!C35&amp;"","*"&amp;OpCode!C35&amp;"*")&amp;" | "&amp;OpCode!D35&amp;" | "&amp;OpCode!E35&amp;" | "&amp;OpCode!G35&amp;" | "&amp;SUBSTITUTE(OpCode!H35,"|","/")&amp;" | ```"&amp;OpCode!I35&amp;"``` | "&amp;OpCode!J35&amp;" | "&amp;OpCode!K35&amp;" |"</f>
        <v>| 21 | AND | (dp,X) | logic | 2 | 6 | ```N.....Z.``` | AND ($10,X) | MA &lt;- byte_2 + X; MA &lt;- (MA); MV &lt;- (MA); t &lt;- A &amp; MV; A &lt;- t |</v>
      </c>
    </row>
    <row r="88" spans="1:1" x14ac:dyDescent="0.2">
      <c r="A88" s="5" t="str">
        <f>"| "&amp;IF(OpCode!B36="",""&amp;OpCode!A36&amp;"","*"&amp;OpCode!A36&amp;"*")&amp;" | "&amp;IF(OpCode!B36="",""&amp;OpCode!C36&amp;"","*"&amp;OpCode!C36&amp;"*")&amp;" | "&amp;OpCode!D36&amp;" | "&amp;OpCode!E36&amp;" | "&amp;OpCode!G36&amp;" | "&amp;SUBSTITUTE(OpCode!H36,"|","/")&amp;" | ```"&amp;OpCode!I36&amp;"``` | "&amp;OpCode!J36&amp;" | "&amp;OpCode!K36&amp;" |"</f>
        <v>| *22* | *NOP* |  | control | 1 | 2 | ```........``` | NOP | No operation |</v>
      </c>
    </row>
    <row r="89" spans="1:1" x14ac:dyDescent="0.2">
      <c r="A89" s="5" t="str">
        <f>"| "&amp;IF(OpCode!B37="",""&amp;OpCode!A37&amp;"","*"&amp;OpCode!A37&amp;"*")&amp;" | "&amp;IF(OpCode!B37="",""&amp;OpCode!C37&amp;"","*"&amp;OpCode!C37&amp;"*")&amp;" | "&amp;OpCode!D37&amp;" | "&amp;OpCode!E37&amp;" | "&amp;OpCode!G37&amp;" | "&amp;SUBSTITUTE(OpCode!H37,"|","/")&amp;" | ```"&amp;OpCode!I37&amp;"``` | "&amp;OpCode!J37&amp;" | "&amp;OpCode!K37&amp;" |"</f>
        <v>| *23* | *NOP* |  | control | 1 | 2 | ```........``` | NOP | No operation |</v>
      </c>
    </row>
    <row r="90" spans="1:1" x14ac:dyDescent="0.2">
      <c r="A90" s="5" t="str">
        <f>"| "&amp;IF(OpCode!B38="",""&amp;OpCode!A38&amp;"","*"&amp;OpCode!A38&amp;"*")&amp;" | "&amp;IF(OpCode!B38="",""&amp;OpCode!C38&amp;"","*"&amp;OpCode!C38&amp;"*")&amp;" | "&amp;OpCode!D38&amp;" | "&amp;OpCode!E38&amp;" | "&amp;OpCode!G38&amp;" | "&amp;SUBSTITUTE(OpCode!H38,"|","/")&amp;" | ```"&amp;OpCode!I38&amp;"``` | "&amp;OpCode!J38&amp;" | "&amp;OpCode!K38&amp;" |"</f>
        <v>| 24 | BIT | dp | logic | 2 | 3 | ```NV....Z.``` | BIT $10 | MA &lt;- byte_2; MV &lt;- (MA); t &lt;- A &amp; MV |</v>
      </c>
    </row>
    <row r="91" spans="1:1" x14ac:dyDescent="0.2">
      <c r="A91" s="5" t="str">
        <f>"| "&amp;IF(OpCode!B39="",""&amp;OpCode!A39&amp;"","*"&amp;OpCode!A39&amp;"*")&amp;" | "&amp;IF(OpCode!B39="",""&amp;OpCode!C39&amp;"","*"&amp;OpCode!C39&amp;"*")&amp;" | "&amp;OpCode!D39&amp;" | "&amp;OpCode!E39&amp;" | "&amp;OpCode!G39&amp;" | "&amp;SUBSTITUTE(OpCode!H39,"|","/")&amp;" | ```"&amp;OpCode!I39&amp;"``` | "&amp;OpCode!J39&amp;" | "&amp;OpCode!K39&amp;" |"</f>
        <v>| 25 | AND | dp | logic | 2 | 3 | ```N.....Z.``` | AND $10 | MA &lt;- byte_2; MV &lt;- (MA); t &lt;- A &amp; (MA); A &lt;- t |</v>
      </c>
    </row>
    <row r="92" spans="1:1" x14ac:dyDescent="0.2">
      <c r="A92" s="5" t="str">
        <f>"| "&amp;IF(OpCode!B40="",""&amp;OpCode!A40&amp;"","*"&amp;OpCode!A40&amp;"*")&amp;" | "&amp;IF(OpCode!B40="",""&amp;OpCode!C40&amp;"","*"&amp;OpCode!C40&amp;"*")&amp;" | "&amp;OpCode!D40&amp;" | "&amp;OpCode!E40&amp;" | "&amp;OpCode!G40&amp;" | "&amp;SUBSTITUTE(OpCode!H40,"|","/")&amp;" | ```"&amp;OpCode!I40&amp;"``` | "&amp;OpCode!J40&amp;" | "&amp;OpCode!K40&amp;" |"</f>
        <v>| 26 | ROL | dp | logic | 2 | 5 | ```N.....ZC``` | ROL $10 | MA &lt;- byte_2; MV &lt;- (MA); t &lt;- MV &lt;&lt; 1; (MA) &lt;- t |</v>
      </c>
    </row>
    <row r="93" spans="1:1" x14ac:dyDescent="0.2">
      <c r="A93" s="5" t="str">
        <f>"| "&amp;IF(OpCode!B41="",""&amp;OpCode!A41&amp;"","*"&amp;OpCode!A41&amp;"*")&amp;" | "&amp;IF(OpCode!B41="",""&amp;OpCode!C41&amp;"","*"&amp;OpCode!C41&amp;"*")&amp;" | "&amp;OpCode!D41&amp;" | "&amp;OpCode!E41&amp;" | "&amp;OpCode!G41&amp;" | "&amp;SUBSTITUTE(OpCode!H41,"|","/")&amp;" | ```"&amp;OpCode!I41&amp;"``` | "&amp;OpCode!J41&amp;" | "&amp;OpCode!K41&amp;" |"</f>
        <v>| *27* | *RMB2* | dp | logic | 2 | 5 | ```......Z.``` | RMB2 $10 | Reset Memory Bit. Resets a specific bit of a byte held on zero page.  |</v>
      </c>
    </row>
    <row r="94" spans="1:1" x14ac:dyDescent="0.2">
      <c r="A94" s="5" t="str">
        <f>"| "&amp;IF(OpCode!B42="",""&amp;OpCode!A42&amp;"","*"&amp;OpCode!A42&amp;"*")&amp;" | "&amp;IF(OpCode!B42="",""&amp;OpCode!C42&amp;"","*"&amp;OpCode!C42&amp;"*")&amp;" | "&amp;OpCode!D42&amp;" | "&amp;OpCode!E42&amp;" | "&amp;OpCode!G42&amp;" | "&amp;SUBSTITUTE(OpCode!H42,"|","/")&amp;" | ```"&amp;OpCode!I42&amp;"``` | "&amp;OpCode!J42&amp;" | "&amp;OpCode!K42&amp;" |"</f>
        <v>| 28 | PLP |  | stack | 1 | 4 | ```NV??DIZC``` | PLP | P &lt;- (SP) |</v>
      </c>
    </row>
    <row r="95" spans="1:1" x14ac:dyDescent="0.2">
      <c r="A95" s="5" t="str">
        <f>"| "&amp;IF(OpCode!B43="",""&amp;OpCode!A43&amp;"","*"&amp;OpCode!A43&amp;"*")&amp;" | "&amp;IF(OpCode!B43="",""&amp;OpCode!C43&amp;"","*"&amp;OpCode!C43&amp;"*")&amp;" | "&amp;OpCode!D43&amp;" | "&amp;OpCode!E43&amp;" | "&amp;OpCode!G43&amp;" | "&amp;SUBSTITUTE(OpCode!H43,"|","/")&amp;" | ```"&amp;OpCode!I43&amp;"``` | "&amp;OpCode!J43&amp;" | "&amp;OpCode!K43&amp;" |"</f>
        <v>| 29 | AND | imm | logic | 2 | 2 | ```N.....Z.``` | AND #$54 | t &lt;- A &amp; byte_2; A &lt;- t |</v>
      </c>
    </row>
    <row r="96" spans="1:1" x14ac:dyDescent="0.2">
      <c r="A96" s="5" t="str">
        <f>"| "&amp;IF(OpCode!B44="",""&amp;OpCode!A44&amp;"","*"&amp;OpCode!A44&amp;"*")&amp;" | "&amp;IF(OpCode!B44="",""&amp;OpCode!C44&amp;"","*"&amp;OpCode!C44&amp;"*")&amp;" | "&amp;OpCode!D44&amp;" | "&amp;OpCode!E44&amp;" | "&amp;OpCode!G44&amp;" | "&amp;SUBSTITUTE(OpCode!H44,"|","/")&amp;" | ```"&amp;OpCode!I44&amp;"``` | "&amp;OpCode!J44&amp;" | "&amp;OpCode!K44&amp;" |"</f>
        <v>| 2A | ROL | A | logic | 1 | 2 | ```N.....ZC``` | ROL | t &lt;- A &lt;&lt; 1; A &lt;- t |</v>
      </c>
    </row>
    <row r="97" spans="1:1" x14ac:dyDescent="0.2">
      <c r="A97" s="5" t="str">
        <f>"| "&amp;IF(OpCode!B45="",""&amp;OpCode!A45&amp;"","*"&amp;OpCode!A45&amp;"*")&amp;" | "&amp;IF(OpCode!B45="",""&amp;OpCode!C45&amp;"","*"&amp;OpCode!C45&amp;"*")&amp;" | "&amp;OpCode!D45&amp;" | "&amp;OpCode!E45&amp;" | "&amp;OpCode!G45&amp;" | "&amp;SUBSTITUTE(OpCode!H45,"|","/")&amp;" | ```"&amp;OpCode!I45&amp;"``` | "&amp;OpCode!J45&amp;" | "&amp;OpCode!K45&amp;" |"</f>
        <v>| *2B* | *NOP* |  | control | 1 | 2 | ```........``` | NOP | No operation |</v>
      </c>
    </row>
    <row r="98" spans="1:1" x14ac:dyDescent="0.2">
      <c r="A98" s="5" t="str">
        <f>"| "&amp;IF(OpCode!B46="",""&amp;OpCode!A46&amp;"","*"&amp;OpCode!A46&amp;"*")&amp;" | "&amp;IF(OpCode!B46="",""&amp;OpCode!C46&amp;"","*"&amp;OpCode!C46&amp;"*")&amp;" | "&amp;OpCode!D46&amp;" | "&amp;OpCode!E46&amp;" | "&amp;OpCode!G46&amp;" | "&amp;SUBSTITUTE(OpCode!H46,"|","/")&amp;" | ```"&amp;OpCode!I46&amp;"``` | "&amp;OpCode!J46&amp;" | "&amp;OpCode!K46&amp;" |"</f>
        <v>| 2C | BIT | abs | logic | 3 | 4 | ```NV....Z.``` | BIT $9876 | MA &lt;- byte_2 + 256 * byte_3; MV &lt;- (MA); t &lt;- A &amp; MV |</v>
      </c>
    </row>
    <row r="99" spans="1:1" x14ac:dyDescent="0.2">
      <c r="A99" s="5" t="str">
        <f>"| "&amp;IF(OpCode!B47="",""&amp;OpCode!A47&amp;"","*"&amp;OpCode!A47&amp;"*")&amp;" | "&amp;IF(OpCode!B47="",""&amp;OpCode!C47&amp;"","*"&amp;OpCode!C47&amp;"*")&amp;" | "&amp;OpCode!D47&amp;" | "&amp;OpCode!E47&amp;" | "&amp;OpCode!G47&amp;" | "&amp;SUBSTITUTE(OpCode!H47,"|","/")&amp;" | ```"&amp;OpCode!I47&amp;"``` | "&amp;OpCode!J47&amp;" | "&amp;OpCode!K47&amp;" |"</f>
        <v>| 2D | AND | abs | logic | 3 | 4 | ```N.....Z.``` | AND $9876 | MA &lt;- byte_2 + 256 * byte_3; MV &lt;- (MA); t &lt;- A &amp; MV; A &lt;- t |</v>
      </c>
    </row>
    <row r="100" spans="1:1" x14ac:dyDescent="0.2">
      <c r="A100" s="5" t="str">
        <f>"| "&amp;IF(OpCode!B48="",""&amp;OpCode!A48&amp;"","*"&amp;OpCode!A48&amp;"*")&amp;" | "&amp;IF(OpCode!B48="",""&amp;OpCode!C48&amp;"","*"&amp;OpCode!C48&amp;"*")&amp;" | "&amp;OpCode!D48&amp;" | "&amp;OpCode!E48&amp;" | "&amp;OpCode!G48&amp;" | "&amp;SUBSTITUTE(OpCode!H48,"|","/")&amp;" | ```"&amp;OpCode!I48&amp;"``` | "&amp;OpCode!J48&amp;" | "&amp;OpCode!K48&amp;" |"</f>
        <v>| 2E | ROL | abs | logic | 3 | 6 | ```N.....ZC``` | ROL $9876 | MA &lt;- byte_2 + 256 * byte_3; MV &lt;- (MA); t &lt;- MV &lt;&lt; 1; (MA) &lt;- t |</v>
      </c>
    </row>
    <row r="101" spans="1:1" x14ac:dyDescent="0.2">
      <c r="A101" s="5" t="str">
        <f>"| "&amp;IF(OpCode!B49="",""&amp;OpCode!A49&amp;"","*"&amp;OpCode!A49&amp;"*")&amp;" | "&amp;IF(OpCode!B49="",""&amp;OpCode!C49&amp;"","*"&amp;OpCode!C49&amp;"*")&amp;" | "&amp;OpCode!D49&amp;" | "&amp;OpCode!E49&amp;" | "&amp;OpCode!G49&amp;" | "&amp;SUBSTITUTE(OpCode!H49,"|","/")&amp;" | ```"&amp;OpCode!I49&amp;"``` | "&amp;OpCode!J49&amp;" | "&amp;OpCode!K49&amp;" |"</f>
        <v>| *2F* | *BBR2* | dp,rel8 | branch | 3 | 2/3 | ```........``` | BBR2 $10,LABEL | Branch on Bit Reset. Tests a specific bit of a byte held on zero page and causes a branch of the bit is resest (0) |</v>
      </c>
    </row>
    <row r="102" spans="1:1" x14ac:dyDescent="0.2">
      <c r="A102" s="5" t="str">
        <f>"| "&amp;IF(OpCode!B50="",""&amp;OpCode!A50&amp;"","*"&amp;OpCode!A50&amp;"*")&amp;" | "&amp;IF(OpCode!B50="",""&amp;OpCode!C50&amp;"","*"&amp;OpCode!C50&amp;"*")&amp;" | "&amp;OpCode!D50&amp;" | "&amp;OpCode!E50&amp;" | "&amp;OpCode!G50&amp;" | "&amp;SUBSTITUTE(OpCode!H50,"|","/")&amp;" | ```"&amp;OpCode!I50&amp;"``` | "&amp;OpCode!J50&amp;" | "&amp;OpCode!K50&amp;" |"</f>
        <v>| 30 | BMI | rel8 | branch | 2 | 2/3 | ```........``` | BMI LABEL | if N , PC &lt;- PC + byte_2 |</v>
      </c>
    </row>
    <row r="103" spans="1:1" x14ac:dyDescent="0.2">
      <c r="A103" s="5" t="str">
        <f>"| "&amp;IF(OpCode!B51="",""&amp;OpCode!A51&amp;"","*"&amp;OpCode!A51&amp;"*")&amp;" | "&amp;IF(OpCode!B51="",""&amp;OpCode!C51&amp;"","*"&amp;OpCode!C51&amp;"*")&amp;" | "&amp;OpCode!D51&amp;" | "&amp;OpCode!E51&amp;" | "&amp;OpCode!G51&amp;" | "&amp;SUBSTITUTE(OpCode!H51,"|","/")&amp;" | ```"&amp;OpCode!I51&amp;"``` | "&amp;OpCode!J51&amp;" | "&amp;OpCode!K51&amp;" |"</f>
        <v>| 31 | AND | (dp),Y | logic | 2 | 5 | ```N.....Z.``` | AND ($10),Y | MA &lt;- byte_2; MA &lt;- (MA) + Y; MV &lt;- (MA); t &lt;- A &amp; MV; A &lt;- t |</v>
      </c>
    </row>
    <row r="104" spans="1:1" x14ac:dyDescent="0.2">
      <c r="A104" s="5" t="str">
        <f>"| "&amp;IF(OpCode!B52="",""&amp;OpCode!A52&amp;"","*"&amp;OpCode!A52&amp;"*")&amp;" | "&amp;IF(OpCode!B52="",""&amp;OpCode!C52&amp;"","*"&amp;OpCode!C52&amp;"*")&amp;" | "&amp;OpCode!D52&amp;" | "&amp;OpCode!E52&amp;" | "&amp;OpCode!G52&amp;" | "&amp;SUBSTITUTE(OpCode!H52,"|","/")&amp;" | ```"&amp;OpCode!I52&amp;"``` | "&amp;OpCode!J52&amp;" | "&amp;OpCode!K52&amp;" |"</f>
        <v>| 32 | AND | (dp) | logic | 2 | 5 | ```N.....Z.``` | AND ($10) | MA &lt;- byte_2; MA &lt;- (MA); MV &lt;- (MA); t &lt;- A &amp; MV; A &lt;- t |</v>
      </c>
    </row>
    <row r="105" spans="1:1" x14ac:dyDescent="0.2">
      <c r="A105" s="5" t="str">
        <f>"| "&amp;IF(OpCode!B53="",""&amp;OpCode!A53&amp;"","*"&amp;OpCode!A53&amp;"*")&amp;" | "&amp;IF(OpCode!B53="",""&amp;OpCode!C53&amp;"","*"&amp;OpCode!C53&amp;"*")&amp;" | "&amp;OpCode!D53&amp;" | "&amp;OpCode!E53&amp;" | "&amp;OpCode!G53&amp;" | "&amp;SUBSTITUTE(OpCode!H53,"|","/")&amp;" | ```"&amp;OpCode!I53&amp;"``` | "&amp;OpCode!J53&amp;" | "&amp;OpCode!K53&amp;" |"</f>
        <v>| *33* | *NOP* |  | control | 1 | 2 | ```........``` | NOP | No operation |</v>
      </c>
    </row>
    <row r="106" spans="1:1" x14ac:dyDescent="0.2">
      <c r="A106" s="5" t="str">
        <f>"| "&amp;IF(OpCode!B54="",""&amp;OpCode!A54&amp;"","*"&amp;OpCode!A54&amp;"*")&amp;" | "&amp;IF(OpCode!B54="",""&amp;OpCode!C54&amp;"","*"&amp;OpCode!C54&amp;"*")&amp;" | "&amp;OpCode!D54&amp;" | "&amp;OpCode!E54&amp;" | "&amp;OpCode!G54&amp;" | "&amp;SUBSTITUTE(OpCode!H54,"|","/")&amp;" | ```"&amp;OpCode!I54&amp;"``` | "&amp;OpCode!J54&amp;" | "&amp;OpCode!K54&amp;" |"</f>
        <v>| 34 | BIT | dp,X | logic | 1 | 4 | ```NV....Z.``` | BIT $10,X | MA &lt;- byte_2 + X; MV &lt;- (MA); t &lt;- A &amp; MV |</v>
      </c>
    </row>
    <row r="107" spans="1:1" x14ac:dyDescent="0.2">
      <c r="A107" s="5" t="str">
        <f>"| "&amp;IF(OpCode!B55="",""&amp;OpCode!A55&amp;"","*"&amp;OpCode!A55&amp;"*")&amp;" | "&amp;IF(OpCode!B55="",""&amp;OpCode!C55&amp;"","*"&amp;OpCode!C55&amp;"*")&amp;" | "&amp;OpCode!D55&amp;" | "&amp;OpCode!E55&amp;" | "&amp;OpCode!G55&amp;" | "&amp;SUBSTITUTE(OpCode!H55,"|","/")&amp;" | ```"&amp;OpCode!I55&amp;"``` | "&amp;OpCode!J55&amp;" | "&amp;OpCode!K55&amp;" |"</f>
        <v>| 35 | AND | dp,X | logic | 2 | 4 | ```N.....Z.``` | AND $10,X | MA &lt;- byte_2 + X; MV &lt;- (MA); t &lt;- A &amp; MV; A &lt;- t |</v>
      </c>
    </row>
    <row r="108" spans="1:1" x14ac:dyDescent="0.2">
      <c r="A108" s="5" t="str">
        <f>"| "&amp;IF(OpCode!B56="",""&amp;OpCode!A56&amp;"","*"&amp;OpCode!A56&amp;"*")&amp;" | "&amp;IF(OpCode!B56="",""&amp;OpCode!C56&amp;"","*"&amp;OpCode!C56&amp;"*")&amp;" | "&amp;OpCode!D56&amp;" | "&amp;OpCode!E56&amp;" | "&amp;OpCode!G56&amp;" | "&amp;SUBSTITUTE(OpCode!H56,"|","/")&amp;" | ```"&amp;OpCode!I56&amp;"``` | "&amp;OpCode!J56&amp;" | "&amp;OpCode!K56&amp;" |"</f>
        <v>| 36 | ROL | dp,X | logic | 2 | 6 | ```N.....ZC``` | ROL $10,X | MA &lt;- byte_2 + X; MV &lt;- (MA); t &lt;- MV &lt;&lt; 1; (MA) &lt;- t |</v>
      </c>
    </row>
    <row r="109" spans="1:1" x14ac:dyDescent="0.2">
      <c r="A109" s="5" t="str">
        <f>"| "&amp;IF(OpCode!B57="",""&amp;OpCode!A57&amp;"","*"&amp;OpCode!A57&amp;"*")&amp;" | "&amp;IF(OpCode!B57="",""&amp;OpCode!C57&amp;"","*"&amp;OpCode!C57&amp;"*")&amp;" | "&amp;OpCode!D57&amp;" | "&amp;OpCode!E57&amp;" | "&amp;OpCode!G57&amp;" | "&amp;SUBSTITUTE(OpCode!H57,"|","/")&amp;" | ```"&amp;OpCode!I57&amp;"``` | "&amp;OpCode!J57&amp;" | "&amp;OpCode!K57&amp;" |"</f>
        <v>| *37* | *RMB3* | dp | logic | 2 | 5 | ```......Z.``` | RMB3 $10 | Reset Memory Bit. Resets a specific bit of a byte held on zero page.  |</v>
      </c>
    </row>
    <row r="110" spans="1:1" x14ac:dyDescent="0.2">
      <c r="A110" s="5" t="str">
        <f>"| "&amp;IF(OpCode!B58="",""&amp;OpCode!A58&amp;"","*"&amp;OpCode!A58&amp;"*")&amp;" | "&amp;IF(OpCode!B58="",""&amp;OpCode!C58&amp;"","*"&amp;OpCode!C58&amp;"*")&amp;" | "&amp;OpCode!D58&amp;" | "&amp;OpCode!E58&amp;" | "&amp;OpCode!G58&amp;" | "&amp;SUBSTITUTE(OpCode!H58,"|","/")&amp;" | ```"&amp;OpCode!I58&amp;"``` | "&amp;OpCode!J58&amp;" | "&amp;OpCode!K58&amp;" |"</f>
        <v>| 38 | SEC |  | control | 1 | 2 | ```.......1``` | SEC | c &lt;- 1 |</v>
      </c>
    </row>
    <row r="111" spans="1:1" x14ac:dyDescent="0.2">
      <c r="A111" s="5" t="str">
        <f>"| "&amp;IF(OpCode!B59="",""&amp;OpCode!A59&amp;"","*"&amp;OpCode!A59&amp;"*")&amp;" | "&amp;IF(OpCode!B59="",""&amp;OpCode!C59&amp;"","*"&amp;OpCode!C59&amp;"*")&amp;" | "&amp;OpCode!D59&amp;" | "&amp;OpCode!E59&amp;" | "&amp;OpCode!G59&amp;" | "&amp;SUBSTITUTE(OpCode!H59,"|","/")&amp;" | ```"&amp;OpCode!I59&amp;"``` | "&amp;OpCode!J59&amp;" | "&amp;OpCode!K59&amp;" |"</f>
        <v>| 39 | AND | abs,Y | logic | 3 | 4 | ```N.....Z.``` | AND $9876,Y | MA &lt;- byte_2 + 256 * byte_3 + Y; MV &lt;- (MA); t &lt;- A &amp; MV; A &lt;- t |</v>
      </c>
    </row>
    <row r="112" spans="1:1" x14ac:dyDescent="0.2">
      <c r="A112" s="5" t="str">
        <f>"| "&amp;IF(OpCode!B60="",""&amp;OpCode!A60&amp;"","*"&amp;OpCode!A60&amp;"*")&amp;" | "&amp;IF(OpCode!B60="",""&amp;OpCode!C60&amp;"","*"&amp;OpCode!C60&amp;"*")&amp;" | "&amp;OpCode!D60&amp;" | "&amp;OpCode!E60&amp;" | "&amp;OpCode!G60&amp;" | "&amp;SUBSTITUTE(OpCode!H60,"|","/")&amp;" | ```"&amp;OpCode!I60&amp;"``` | "&amp;OpCode!J60&amp;" | "&amp;OpCode!K60&amp;" |"</f>
        <v>| 3A | DEC | A | arith | 1 | 2 | ```N.....Z.``` | DEC A | A &lt;- A - 1 |</v>
      </c>
    </row>
    <row r="113" spans="1:1" x14ac:dyDescent="0.2">
      <c r="A113" s="5" t="str">
        <f>"| "&amp;IF(OpCode!B61="",""&amp;OpCode!A61&amp;"","*"&amp;OpCode!A61&amp;"*")&amp;" | "&amp;IF(OpCode!B61="",""&amp;OpCode!C61&amp;"","*"&amp;OpCode!C61&amp;"*")&amp;" | "&amp;OpCode!D61&amp;" | "&amp;OpCode!E61&amp;" | "&amp;OpCode!G61&amp;" | "&amp;SUBSTITUTE(OpCode!H61,"|","/")&amp;" | ```"&amp;OpCode!I61&amp;"``` | "&amp;OpCode!J61&amp;" | "&amp;OpCode!K61&amp;" |"</f>
        <v>| *3B* | *NOP* |  | control | 1 | 2 | ```........``` | NOP | No operation |</v>
      </c>
    </row>
    <row r="114" spans="1:1" x14ac:dyDescent="0.2">
      <c r="A114" s="5" t="str">
        <f>"| "&amp;IF(OpCode!B62="",""&amp;OpCode!A62&amp;"","*"&amp;OpCode!A62&amp;"*")&amp;" | "&amp;IF(OpCode!B62="",""&amp;OpCode!C62&amp;"","*"&amp;OpCode!C62&amp;"*")&amp;" | "&amp;OpCode!D62&amp;" | "&amp;OpCode!E62&amp;" | "&amp;OpCode!G62&amp;" | "&amp;SUBSTITUTE(OpCode!H62,"|","/")&amp;" | ```"&amp;OpCode!I62&amp;"``` | "&amp;OpCode!J62&amp;" | "&amp;OpCode!K62&amp;" |"</f>
        <v>| 3C | BIT | abs,X | logic | 3 | 4 | ```NV....Z.``` | BIT $9876,X | MA &lt;- byte_2 + 256 * byte_3 + Y; MV &lt;- (MA); t &lt;- A &amp; MV |</v>
      </c>
    </row>
    <row r="115" spans="1:1" x14ac:dyDescent="0.2">
      <c r="A115" s="5" t="str">
        <f>"| "&amp;IF(OpCode!B63="",""&amp;OpCode!A63&amp;"","*"&amp;OpCode!A63&amp;"*")&amp;" | "&amp;IF(OpCode!B63="",""&amp;OpCode!C63&amp;"","*"&amp;OpCode!C63&amp;"*")&amp;" | "&amp;OpCode!D63&amp;" | "&amp;OpCode!E63&amp;" | "&amp;OpCode!G63&amp;" | "&amp;SUBSTITUTE(OpCode!H63,"|","/")&amp;" | ```"&amp;OpCode!I63&amp;"``` | "&amp;OpCode!J63&amp;" | "&amp;OpCode!K63&amp;" |"</f>
        <v>| 3D | AND | abs,X | logic | 3 | 4 | ```N.....Z.``` | AND $9876,X | MA &lt;- byte_2 + 256 * byte_3 + X; MV &lt;- (MA); t &lt;- A &amp; MV; A &lt;- t |</v>
      </c>
    </row>
    <row r="116" spans="1:1" x14ac:dyDescent="0.2">
      <c r="A116" s="5" t="str">
        <f>"| "&amp;IF(OpCode!B64="",""&amp;OpCode!A64&amp;"","*"&amp;OpCode!A64&amp;"*")&amp;" | "&amp;IF(OpCode!B64="",""&amp;OpCode!C64&amp;"","*"&amp;OpCode!C64&amp;"*")&amp;" | "&amp;OpCode!D64&amp;" | "&amp;OpCode!E64&amp;" | "&amp;OpCode!G64&amp;" | "&amp;SUBSTITUTE(OpCode!H64,"|","/")&amp;" | ```"&amp;OpCode!I64&amp;"``` | "&amp;OpCode!J64&amp;" | "&amp;OpCode!K64&amp;" |"</f>
        <v>| 3E | ROL | abs,X | logic | 3 | 7 | ```N.....ZC``` | ROL $9876,X | MA &lt;- byte_2 + 256 * byte_3 + X; MV &lt;- (MA); t &lt;- MV &lt;&lt; 1; (MA) &lt;- t |</v>
      </c>
    </row>
    <row r="117" spans="1:1" x14ac:dyDescent="0.2">
      <c r="A117" s="5" t="str">
        <f>"| "&amp;IF(OpCode!B65="",""&amp;OpCode!A65&amp;"","*"&amp;OpCode!A65&amp;"*")&amp;" | "&amp;IF(OpCode!B65="",""&amp;OpCode!C65&amp;"","*"&amp;OpCode!C65&amp;"*")&amp;" | "&amp;OpCode!D65&amp;" | "&amp;OpCode!E65&amp;" | "&amp;OpCode!G65&amp;" | "&amp;SUBSTITUTE(OpCode!H65,"|","/")&amp;" | ```"&amp;OpCode!I65&amp;"``` | "&amp;OpCode!J65&amp;" | "&amp;OpCode!K65&amp;" |"</f>
        <v>| *3F* | *BBR3* | dp,rel8 | branch | 3 | 2/3 | ```........``` | BBR3 $10,LABEL | Branch on Bit Reset. Tests a specific bit of a byte held on zero page and causes a branch of the bit is resest (0) |</v>
      </c>
    </row>
    <row r="118" spans="1:1" x14ac:dyDescent="0.2">
      <c r="A118" s="5" t="str">
        <f>"| "&amp;IF(OpCode!B66="",""&amp;OpCode!A66&amp;"","*"&amp;OpCode!A66&amp;"*")&amp;" | "&amp;IF(OpCode!B66="",""&amp;OpCode!C66&amp;"","*"&amp;OpCode!C66&amp;"*")&amp;" | "&amp;OpCode!D66&amp;" | "&amp;OpCode!E66&amp;" | "&amp;OpCode!G66&amp;" | "&amp;SUBSTITUTE(OpCode!H66,"|","/")&amp;" | ```"&amp;OpCode!I66&amp;"``` | "&amp;OpCode!J66&amp;" | "&amp;OpCode!K66&amp;" |"</f>
        <v>| 40 | RTI |  | branch | 1 | 6 | ```NV??DIZC``` | RTI | P &lt;- (SP); PC &lt;- (SP) |</v>
      </c>
    </row>
    <row r="119" spans="1:1" x14ac:dyDescent="0.2">
      <c r="A119" s="5" t="str">
        <f>"| "&amp;IF(OpCode!B67="",""&amp;OpCode!A67&amp;"","*"&amp;OpCode!A67&amp;"*")&amp;" | "&amp;IF(OpCode!B67="",""&amp;OpCode!C67&amp;"","*"&amp;OpCode!C67&amp;"*")&amp;" | "&amp;OpCode!D67&amp;" | "&amp;OpCode!E67&amp;" | "&amp;OpCode!G67&amp;" | "&amp;SUBSTITUTE(OpCode!H67,"|","/")&amp;" | ```"&amp;OpCode!I67&amp;"``` | "&amp;OpCode!J67&amp;" | "&amp;OpCode!K67&amp;" |"</f>
        <v>| 41 | EOR | (dp,X) | logic | 2 | 6 | ```N.....Z.``` | EOR ($10,X) | MA &lt;- byte_2 + X; MA &lt;- (MA); MV &lt;- (MA); t &lt;- A ^ MV; A &lt;- t |</v>
      </c>
    </row>
    <row r="120" spans="1:1" x14ac:dyDescent="0.2">
      <c r="A120" s="5" t="str">
        <f>"| "&amp;IF(OpCode!B68="",""&amp;OpCode!A68&amp;"","*"&amp;OpCode!A68&amp;"*")&amp;" | "&amp;IF(OpCode!B68="",""&amp;OpCode!C68&amp;"","*"&amp;OpCode!C68&amp;"*")&amp;" | "&amp;OpCode!D68&amp;" | "&amp;OpCode!E68&amp;" | "&amp;OpCode!G68&amp;" | "&amp;SUBSTITUTE(OpCode!H68,"|","/")&amp;" | ```"&amp;OpCode!I68&amp;"``` | "&amp;OpCode!J68&amp;" | "&amp;OpCode!K68&amp;" |"</f>
        <v>| *42* | *NOP* |  | control | 1 | 2 | ```........``` | NOP | No operation |</v>
      </c>
    </row>
    <row r="121" spans="1:1" x14ac:dyDescent="0.2">
      <c r="A121" s="5" t="str">
        <f>"| "&amp;IF(OpCode!B69="",""&amp;OpCode!A69&amp;"","*"&amp;OpCode!A69&amp;"*")&amp;" | "&amp;IF(OpCode!B69="",""&amp;OpCode!C69&amp;"","*"&amp;OpCode!C69&amp;"*")&amp;" | "&amp;OpCode!D69&amp;" | "&amp;OpCode!E69&amp;" | "&amp;OpCode!G69&amp;" | "&amp;SUBSTITUTE(OpCode!H69,"|","/")&amp;" | ```"&amp;OpCode!I69&amp;"``` | "&amp;OpCode!J69&amp;" | "&amp;OpCode!K69&amp;" |"</f>
        <v>| *43* | *NOP* |  | control | 1 | 2 | ```........``` | NOP | No operation |</v>
      </c>
    </row>
    <row r="122" spans="1:1" x14ac:dyDescent="0.2">
      <c r="A122" s="5" t="str">
        <f>"| "&amp;IF(OpCode!B70="",""&amp;OpCode!A70&amp;"","*"&amp;OpCode!A70&amp;"*")&amp;" | "&amp;IF(OpCode!B70="",""&amp;OpCode!C70&amp;"","*"&amp;OpCode!C70&amp;"*")&amp;" | "&amp;OpCode!D70&amp;" | "&amp;OpCode!E70&amp;" | "&amp;OpCode!G70&amp;" | "&amp;SUBSTITUTE(OpCode!H70,"|","/")&amp;" | ```"&amp;OpCode!I70&amp;"``` | "&amp;OpCode!J70&amp;" | "&amp;OpCode!K70&amp;" |"</f>
        <v>| *44* | *NOP* |  | control | 1 | 2 | ```........``` | NOP | No operation |</v>
      </c>
    </row>
    <row r="123" spans="1:1" x14ac:dyDescent="0.2">
      <c r="A123" s="5" t="str">
        <f>"| "&amp;IF(OpCode!B71="",""&amp;OpCode!A71&amp;"","*"&amp;OpCode!A71&amp;"*")&amp;" | "&amp;IF(OpCode!B71="",""&amp;OpCode!C71&amp;"","*"&amp;OpCode!C71&amp;"*")&amp;" | "&amp;OpCode!D71&amp;" | "&amp;OpCode!E71&amp;" | "&amp;OpCode!G71&amp;" | "&amp;SUBSTITUTE(OpCode!H71,"|","/")&amp;" | ```"&amp;OpCode!I71&amp;"``` | "&amp;OpCode!J71&amp;" | "&amp;OpCode!K71&amp;" |"</f>
        <v>| 45 | EOR | dp | logic | 2 | 3 | ```N.....Z.``` | EOR $10 | MA &lt;- byte_2; MV &lt;- (MA); t &lt;- A ^ MV; A &lt;- t |</v>
      </c>
    </row>
    <row r="124" spans="1:1" x14ac:dyDescent="0.2">
      <c r="A124" s="5" t="str">
        <f>"| "&amp;IF(OpCode!B72="",""&amp;OpCode!A72&amp;"","*"&amp;OpCode!A72&amp;"*")&amp;" | "&amp;IF(OpCode!B72="",""&amp;OpCode!C72&amp;"","*"&amp;OpCode!C72&amp;"*")&amp;" | "&amp;OpCode!D72&amp;" | "&amp;OpCode!E72&amp;" | "&amp;OpCode!G72&amp;" | "&amp;SUBSTITUTE(OpCode!H72,"|","/")&amp;" | ```"&amp;OpCode!I72&amp;"``` | "&amp;OpCode!J72&amp;" | "&amp;OpCode!K72&amp;" |"</f>
        <v>| 46 | LSR | dp | logic | 2 | 5 | ```0.....ZC``` | LSR $10 | MA &lt;- byte_2; MV &lt;- (MA); t &lt;- MV &gt;&gt; 1; (MA) &lt;- t |</v>
      </c>
    </row>
    <row r="125" spans="1:1" x14ac:dyDescent="0.2">
      <c r="A125" s="5" t="str">
        <f>"| "&amp;IF(OpCode!B73="",""&amp;OpCode!A73&amp;"","*"&amp;OpCode!A73&amp;"*")&amp;" | "&amp;IF(OpCode!B73="",""&amp;OpCode!C73&amp;"","*"&amp;OpCode!C73&amp;"*")&amp;" | "&amp;OpCode!D73&amp;" | "&amp;OpCode!E73&amp;" | "&amp;OpCode!G73&amp;" | "&amp;SUBSTITUTE(OpCode!H73,"|","/")&amp;" | ```"&amp;OpCode!I73&amp;"``` | "&amp;OpCode!J73&amp;" | "&amp;OpCode!K73&amp;" |"</f>
        <v>| *47* | *RMB4* | dp | logic | 2 | 5 | ```......Z.``` | RMB4 $10 | Reset Memory Bit. Resets a specific bit of a byte held on zero page.  |</v>
      </c>
    </row>
    <row r="126" spans="1:1" x14ac:dyDescent="0.2">
      <c r="A126" s="5" t="str">
        <f>"| "&amp;IF(OpCode!B74="",""&amp;OpCode!A74&amp;"","*"&amp;OpCode!A74&amp;"*")&amp;" | "&amp;IF(OpCode!B74="",""&amp;OpCode!C74&amp;"","*"&amp;OpCode!C74&amp;"*")&amp;" | "&amp;OpCode!D74&amp;" | "&amp;OpCode!E74&amp;" | "&amp;OpCode!G74&amp;" | "&amp;SUBSTITUTE(OpCode!H74,"|","/")&amp;" | ```"&amp;OpCode!I74&amp;"``` | "&amp;OpCode!J74&amp;" | "&amp;OpCode!K74&amp;" |"</f>
        <v>| 48 | PHA |  | stack | 1 | 3 | ```........``` | PHA | (SP) &lt;- A |</v>
      </c>
    </row>
    <row r="127" spans="1:1" x14ac:dyDescent="0.2">
      <c r="A127" s="5" t="str">
        <f>"| "&amp;IF(OpCode!B75="",""&amp;OpCode!A75&amp;"","*"&amp;OpCode!A75&amp;"*")&amp;" | "&amp;IF(OpCode!B75="",""&amp;OpCode!C75&amp;"","*"&amp;OpCode!C75&amp;"*")&amp;" | "&amp;OpCode!D75&amp;" | "&amp;OpCode!E75&amp;" | "&amp;OpCode!G75&amp;" | "&amp;SUBSTITUTE(OpCode!H75,"|","/")&amp;" | ```"&amp;OpCode!I75&amp;"``` | "&amp;OpCode!J75&amp;" | "&amp;OpCode!K75&amp;" |"</f>
        <v>| 49 | EOR | imm | logic | 2 | 2 | ```N.....Z.``` | EOR #$54 | t &lt;- A ^ byte_2; A &lt;- t |</v>
      </c>
    </row>
    <row r="128" spans="1:1" x14ac:dyDescent="0.2">
      <c r="A128" s="5" t="str">
        <f>"| "&amp;IF(OpCode!B76="",""&amp;OpCode!A76&amp;"","*"&amp;OpCode!A76&amp;"*")&amp;" | "&amp;IF(OpCode!B76="",""&amp;OpCode!C76&amp;"","*"&amp;OpCode!C76&amp;"*")&amp;" | "&amp;OpCode!D76&amp;" | "&amp;OpCode!E76&amp;" | "&amp;OpCode!G76&amp;" | "&amp;SUBSTITUTE(OpCode!H76,"|","/")&amp;" | ```"&amp;OpCode!I76&amp;"``` | "&amp;OpCode!J76&amp;" | "&amp;OpCode!K76&amp;" |"</f>
        <v>| 4A | LSR |  | logic | 1 | 2 | ```0.....ZC``` | LSR | t &lt;- A &gt;&gt; 1; A &lt;- t |</v>
      </c>
    </row>
    <row r="129" spans="1:1" x14ac:dyDescent="0.2">
      <c r="A129" s="5" t="str">
        <f>"| "&amp;IF(OpCode!B77="",""&amp;OpCode!A77&amp;"","*"&amp;OpCode!A77&amp;"*")&amp;" | "&amp;IF(OpCode!B77="",""&amp;OpCode!C77&amp;"","*"&amp;OpCode!C77&amp;"*")&amp;" | "&amp;OpCode!D77&amp;" | "&amp;OpCode!E77&amp;" | "&amp;OpCode!G77&amp;" | "&amp;SUBSTITUTE(OpCode!H77,"|","/")&amp;" | ```"&amp;OpCode!I77&amp;"``` | "&amp;OpCode!J77&amp;" | "&amp;OpCode!K77&amp;" |"</f>
        <v>| *4B* | *NOP* |  | control | 1 | 2 | ```........``` | NOP | No operation |</v>
      </c>
    </row>
    <row r="130" spans="1:1" x14ac:dyDescent="0.2">
      <c r="A130" s="5" t="str">
        <f>"| "&amp;IF(OpCode!B78="",""&amp;OpCode!A78&amp;"","*"&amp;OpCode!A78&amp;"*")&amp;" | "&amp;IF(OpCode!B78="",""&amp;OpCode!C78&amp;"","*"&amp;OpCode!C78&amp;"*")&amp;" | "&amp;OpCode!D78&amp;" | "&amp;OpCode!E78&amp;" | "&amp;OpCode!G78&amp;" | "&amp;SUBSTITUTE(OpCode!H78,"|","/")&amp;" | ```"&amp;OpCode!I78&amp;"``` | "&amp;OpCode!J78&amp;" | "&amp;OpCode!K78&amp;" |"</f>
        <v>| 4C | JMP | abs | branch | 3 | 3 | ```........``` | JMP $1234 | MA &lt;- byte_2 + 256 * byte_3; PC &lt;- MA |</v>
      </c>
    </row>
    <row r="131" spans="1:1" x14ac:dyDescent="0.2">
      <c r="A131" s="5" t="str">
        <f>"| "&amp;IF(OpCode!B79="",""&amp;OpCode!A79&amp;"","*"&amp;OpCode!A79&amp;"*")&amp;" | "&amp;IF(OpCode!B79="",""&amp;OpCode!C79&amp;"","*"&amp;OpCode!C79&amp;"*")&amp;" | "&amp;OpCode!D79&amp;" | "&amp;OpCode!E79&amp;" | "&amp;OpCode!G79&amp;" | "&amp;SUBSTITUTE(OpCode!H79,"|","/")&amp;" | ```"&amp;OpCode!I79&amp;"``` | "&amp;OpCode!J79&amp;" | "&amp;OpCode!K79&amp;" |"</f>
        <v>| 4D | EOR | abs | logic | 3 | 4 | ```N.....Z.``` | EOR $9876 | MA &lt;- byte_2 + 256 * byte_3; MV &lt;- (MA); t &lt;- A ^ MV; A &lt;- t |</v>
      </c>
    </row>
    <row r="132" spans="1:1" x14ac:dyDescent="0.2">
      <c r="A132" s="5" t="str">
        <f>"| "&amp;IF(OpCode!B80="",""&amp;OpCode!A80&amp;"","*"&amp;OpCode!A80&amp;"*")&amp;" | "&amp;IF(OpCode!B80="",""&amp;OpCode!C80&amp;"","*"&amp;OpCode!C80&amp;"*")&amp;" | "&amp;OpCode!D80&amp;" | "&amp;OpCode!E80&amp;" | "&amp;OpCode!G80&amp;" | "&amp;SUBSTITUTE(OpCode!H80,"|","/")&amp;" | ```"&amp;OpCode!I80&amp;"``` | "&amp;OpCode!J80&amp;" | "&amp;OpCode!K80&amp;" |"</f>
        <v>| 4E | LSR | abs | logic | 3 | 6 | ```0.....ZC``` | LSR $9876 | MA &lt;- byte_2 + 256 * byte_3; MV &lt;- (MA); t &lt;- MV &gt;&gt; 1; (MA) &lt;- t |</v>
      </c>
    </row>
    <row r="133" spans="1:1" x14ac:dyDescent="0.2">
      <c r="A133" s="5" t="str">
        <f>"| "&amp;IF(OpCode!B81="",""&amp;OpCode!A81&amp;"","*"&amp;OpCode!A81&amp;"*")&amp;" | "&amp;IF(OpCode!B81="",""&amp;OpCode!C81&amp;"","*"&amp;OpCode!C81&amp;"*")&amp;" | "&amp;OpCode!D81&amp;" | "&amp;OpCode!E81&amp;" | "&amp;OpCode!G81&amp;" | "&amp;SUBSTITUTE(OpCode!H81,"|","/")&amp;" | ```"&amp;OpCode!I81&amp;"``` | "&amp;OpCode!J81&amp;" | "&amp;OpCode!K81&amp;" |"</f>
        <v>| *4F* | *BBR4* | dp,rel8 | branch | 3 | 2/3 | ```........``` | BBR4 $10,LABEL | Branch on Bit Reset. Tests a specific bit of a byte held on zero page and causes a branch of the bit is resest (0) |</v>
      </c>
    </row>
    <row r="134" spans="1:1" x14ac:dyDescent="0.2">
      <c r="A134" s="5" t="str">
        <f>"| "&amp;IF(OpCode!B82="",""&amp;OpCode!A82&amp;"","*"&amp;OpCode!A82&amp;"*")&amp;" | "&amp;IF(OpCode!B82="",""&amp;OpCode!C82&amp;"","*"&amp;OpCode!C82&amp;"*")&amp;" | "&amp;OpCode!D82&amp;" | "&amp;OpCode!E82&amp;" | "&amp;OpCode!G82&amp;" | "&amp;SUBSTITUTE(OpCode!H82,"|","/")&amp;" | ```"&amp;OpCode!I82&amp;"``` | "&amp;OpCode!J82&amp;" | "&amp;OpCode!K82&amp;" |"</f>
        <v>| 50 | BVC | rel8 | branch | 2 | 2/3 | ```........``` | BVC LABEL | if !V , PC &lt;- PC + byte_2 |</v>
      </c>
    </row>
    <row r="135" spans="1:1" x14ac:dyDescent="0.2">
      <c r="A135" s="5" t="str">
        <f>"| "&amp;IF(OpCode!B83="",""&amp;OpCode!A83&amp;"","*"&amp;OpCode!A83&amp;"*")&amp;" | "&amp;IF(OpCode!B83="",""&amp;OpCode!C83&amp;"","*"&amp;OpCode!C83&amp;"*")&amp;" | "&amp;OpCode!D83&amp;" | "&amp;OpCode!E83&amp;" | "&amp;OpCode!G83&amp;" | "&amp;SUBSTITUTE(OpCode!H83,"|","/")&amp;" | ```"&amp;OpCode!I83&amp;"``` | "&amp;OpCode!J83&amp;" | "&amp;OpCode!K83&amp;" |"</f>
        <v>| 51 | EOR | (dp),Y | logic | 2 | 5 | ```N.....Z.``` | EOR ($10),Y | MA &lt;- byte_2; MA &lt;- (MA) + Y; MV &lt;- (MA); t &lt;- A ^ MV; A &lt;- t |</v>
      </c>
    </row>
    <row r="136" spans="1:1" x14ac:dyDescent="0.2">
      <c r="A136" s="5" t="str">
        <f>"| "&amp;IF(OpCode!B84="",""&amp;OpCode!A84&amp;"","*"&amp;OpCode!A84&amp;"*")&amp;" | "&amp;IF(OpCode!B84="",""&amp;OpCode!C84&amp;"","*"&amp;OpCode!C84&amp;"*")&amp;" | "&amp;OpCode!D84&amp;" | "&amp;OpCode!E84&amp;" | "&amp;OpCode!G84&amp;" | "&amp;SUBSTITUTE(OpCode!H84,"|","/")&amp;" | ```"&amp;OpCode!I84&amp;"``` | "&amp;OpCode!J84&amp;" | "&amp;OpCode!K84&amp;" |"</f>
        <v>| 52 | EOR | (dp) | logic | 2 | 5 | ```N.....Z.``` | EOR ($10) | MA &lt;- byte_2; MA &lt;- (MA); MV &lt;- (MA); t &lt;- A ^ MV; A &lt;- t |</v>
      </c>
    </row>
    <row r="137" spans="1:1" x14ac:dyDescent="0.2">
      <c r="A137" s="5" t="str">
        <f>"| "&amp;IF(OpCode!B85="",""&amp;OpCode!A85&amp;"","*"&amp;OpCode!A85&amp;"*")&amp;" | "&amp;IF(OpCode!B85="",""&amp;OpCode!C85&amp;"","*"&amp;OpCode!C85&amp;"*")&amp;" | "&amp;OpCode!D85&amp;" | "&amp;OpCode!E85&amp;" | "&amp;OpCode!G85&amp;" | "&amp;SUBSTITUTE(OpCode!H85,"|","/")&amp;" | ```"&amp;OpCode!I85&amp;"``` | "&amp;OpCode!J85&amp;" | "&amp;OpCode!K85&amp;" |"</f>
        <v>| *53* | *NOP* |  | control | 1 | 2 | ```........``` | NOP | No operation |</v>
      </c>
    </row>
    <row r="138" spans="1:1" x14ac:dyDescent="0.2">
      <c r="A138" s="5" t="str">
        <f>"| "&amp;IF(OpCode!B86="",""&amp;OpCode!A86&amp;"","*"&amp;OpCode!A86&amp;"*")&amp;" | "&amp;IF(OpCode!B86="",""&amp;OpCode!C86&amp;"","*"&amp;OpCode!C86&amp;"*")&amp;" | "&amp;OpCode!D86&amp;" | "&amp;OpCode!E86&amp;" | "&amp;OpCode!G86&amp;" | "&amp;SUBSTITUTE(OpCode!H86,"|","/")&amp;" | ```"&amp;OpCode!I86&amp;"``` | "&amp;OpCode!J86&amp;" | "&amp;OpCode!K86&amp;" |"</f>
        <v>| *54* | *NOP* |  | control | 1 | 2 | ```........``` | NOP | No operation |</v>
      </c>
    </row>
    <row r="139" spans="1:1" x14ac:dyDescent="0.2">
      <c r="A139" s="5" t="str">
        <f>"| "&amp;IF(OpCode!B87="",""&amp;OpCode!A87&amp;"","*"&amp;OpCode!A87&amp;"*")&amp;" | "&amp;IF(OpCode!B87="",""&amp;OpCode!C87&amp;"","*"&amp;OpCode!C87&amp;"*")&amp;" | "&amp;OpCode!D87&amp;" | "&amp;OpCode!E87&amp;" | "&amp;OpCode!G87&amp;" | "&amp;SUBSTITUTE(OpCode!H87,"|","/")&amp;" | ```"&amp;OpCode!I87&amp;"``` | "&amp;OpCode!J87&amp;" | "&amp;OpCode!K87&amp;" |"</f>
        <v>| 55 | EOR | dp,X | logic | 2 | 4 | ```N.....Z.``` | EOR $10,X | MA &lt;- byte_2 + X; MV &lt;- (MA); t &lt;- A ^ MV; A &lt;- t |</v>
      </c>
    </row>
    <row r="140" spans="1:1" x14ac:dyDescent="0.2">
      <c r="A140" s="5" t="str">
        <f>"| "&amp;IF(OpCode!B88="",""&amp;OpCode!A88&amp;"","*"&amp;OpCode!A88&amp;"*")&amp;" | "&amp;IF(OpCode!B88="",""&amp;OpCode!C88&amp;"","*"&amp;OpCode!C88&amp;"*")&amp;" | "&amp;OpCode!D88&amp;" | "&amp;OpCode!E88&amp;" | "&amp;OpCode!G88&amp;" | "&amp;SUBSTITUTE(OpCode!H88,"|","/")&amp;" | ```"&amp;OpCode!I88&amp;"``` | "&amp;OpCode!J88&amp;" | "&amp;OpCode!K88&amp;" |"</f>
        <v>| 56 | LSR | dp,X | logic | 2 | 2 | ```0.....ZC``` | LSR $10,X | MA &lt;- byte_2 + X; MV &lt;- (MA); t &lt;- MV &gt;&gt; 1; (MA) &lt;- t |</v>
      </c>
    </row>
    <row r="141" spans="1:1" x14ac:dyDescent="0.2">
      <c r="A141" s="5" t="str">
        <f>"| "&amp;IF(OpCode!B89="",""&amp;OpCode!A89&amp;"","*"&amp;OpCode!A89&amp;"*")&amp;" | "&amp;IF(OpCode!B89="",""&amp;OpCode!C89&amp;"","*"&amp;OpCode!C89&amp;"*")&amp;" | "&amp;OpCode!D89&amp;" | "&amp;OpCode!E89&amp;" | "&amp;OpCode!G89&amp;" | "&amp;SUBSTITUTE(OpCode!H89,"|","/")&amp;" | ```"&amp;OpCode!I89&amp;"``` | "&amp;OpCode!J89&amp;" | "&amp;OpCode!K89&amp;" |"</f>
        <v>| *57* | *RMB5* | dp | logic | 2 | 5 | ```......Z.``` | RMB5 $10 | Reset Memory Bit. Resets a specific bit of a byte held on zero page.  |</v>
      </c>
    </row>
    <row r="142" spans="1:1" x14ac:dyDescent="0.2">
      <c r="A142" s="5" t="str">
        <f>"| "&amp;IF(OpCode!B90="",""&amp;OpCode!A90&amp;"","*"&amp;OpCode!A90&amp;"*")&amp;" | "&amp;IF(OpCode!B90="",""&amp;OpCode!C90&amp;"","*"&amp;OpCode!C90&amp;"*")&amp;" | "&amp;OpCode!D90&amp;" | "&amp;OpCode!E90&amp;" | "&amp;OpCode!G90&amp;" | "&amp;SUBSTITUTE(OpCode!H90,"|","/")&amp;" | ```"&amp;OpCode!I90&amp;"``` | "&amp;OpCode!J90&amp;" | "&amp;OpCode!K90&amp;" |"</f>
        <v>| 58 | CLI |  | control | 1 | 2 | ```.....0..``` | CLI | i &lt;- 0 |</v>
      </c>
    </row>
    <row r="143" spans="1:1" x14ac:dyDescent="0.2">
      <c r="A143" s="5" t="str">
        <f>"| "&amp;IF(OpCode!B91="",""&amp;OpCode!A91&amp;"","*"&amp;OpCode!A91&amp;"*")&amp;" | "&amp;IF(OpCode!B91="",""&amp;OpCode!C91&amp;"","*"&amp;OpCode!C91&amp;"*")&amp;" | "&amp;OpCode!D91&amp;" | "&amp;OpCode!E91&amp;" | "&amp;OpCode!G91&amp;" | "&amp;SUBSTITUTE(OpCode!H91,"|","/")&amp;" | ```"&amp;OpCode!I91&amp;"``` | "&amp;OpCode!J91&amp;" | "&amp;OpCode!K91&amp;" |"</f>
        <v>| 59 | EOR | abs,Y | logic | 3 | 4 | ```N.....Z.``` | EOR $9876,Y | MA &lt;- byte_2 + 256 * byte_3 + Y; MV &lt;- (MA); t &lt;- A ^ MV; A &lt;- t |</v>
      </c>
    </row>
    <row r="144" spans="1:1" x14ac:dyDescent="0.2">
      <c r="A144" s="5" t="str">
        <f>"| "&amp;IF(OpCode!B92="",""&amp;OpCode!A92&amp;"","*"&amp;OpCode!A92&amp;"*")&amp;" | "&amp;IF(OpCode!B92="",""&amp;OpCode!C92&amp;"","*"&amp;OpCode!C92&amp;"*")&amp;" | "&amp;OpCode!D92&amp;" | "&amp;OpCode!E92&amp;" | "&amp;OpCode!G92&amp;" | "&amp;SUBSTITUTE(OpCode!H92,"|","/")&amp;" | ```"&amp;OpCode!I92&amp;"``` | "&amp;OpCode!J92&amp;" | "&amp;OpCode!K92&amp;" |"</f>
        <v>| 5A | PHY |  | stack | 1 | 3 | ```........``` | PHY | (SP) &lt;- Y |</v>
      </c>
    </row>
    <row r="145" spans="1:1" x14ac:dyDescent="0.2">
      <c r="A145" s="5" t="str">
        <f>"| "&amp;IF(OpCode!B93="",""&amp;OpCode!A93&amp;"","*"&amp;OpCode!A93&amp;"*")&amp;" | "&amp;IF(OpCode!B93="",""&amp;OpCode!C93&amp;"","*"&amp;OpCode!C93&amp;"*")&amp;" | "&amp;OpCode!D93&amp;" | "&amp;OpCode!E93&amp;" | "&amp;OpCode!G93&amp;" | "&amp;SUBSTITUTE(OpCode!H93,"|","/")&amp;" | ```"&amp;OpCode!I93&amp;"``` | "&amp;OpCode!J93&amp;" | "&amp;OpCode!K93&amp;" |"</f>
        <v>| *5B* | *NOP* |  | control | 1 | 2 | ```........``` | NOP | No operation |</v>
      </c>
    </row>
    <row r="146" spans="1:1" x14ac:dyDescent="0.2">
      <c r="A146" s="5" t="str">
        <f>"| "&amp;IF(OpCode!B94="",""&amp;OpCode!A94&amp;"","*"&amp;OpCode!A94&amp;"*")&amp;" | "&amp;IF(OpCode!B94="",""&amp;OpCode!C94&amp;"","*"&amp;OpCode!C94&amp;"*")&amp;" | "&amp;OpCode!D94&amp;" | "&amp;OpCode!E94&amp;" | "&amp;OpCode!G94&amp;" | "&amp;SUBSTITUTE(OpCode!H94,"|","/")&amp;" | ```"&amp;OpCode!I94&amp;"``` | "&amp;OpCode!J94&amp;" | "&amp;OpCode!K94&amp;" |"</f>
        <v>| *5C* | *NOP* |  | control | 1 | 2 | ```........``` | NOP | No operation |</v>
      </c>
    </row>
    <row r="147" spans="1:1" x14ac:dyDescent="0.2">
      <c r="A147" s="5" t="str">
        <f>"| "&amp;IF(OpCode!B95="",""&amp;OpCode!A95&amp;"","*"&amp;OpCode!A95&amp;"*")&amp;" | "&amp;IF(OpCode!B95="",""&amp;OpCode!C95&amp;"","*"&amp;OpCode!C95&amp;"*")&amp;" | "&amp;OpCode!D95&amp;" | "&amp;OpCode!E95&amp;" | "&amp;OpCode!G95&amp;" | "&amp;SUBSTITUTE(OpCode!H95,"|","/")&amp;" | ```"&amp;OpCode!I95&amp;"``` | "&amp;OpCode!J95&amp;" | "&amp;OpCode!K95&amp;" |"</f>
        <v>| 5D | EOR | abs,X | logic | 3 | 4 | ```N.....Z.``` | EOR $9876,X | MA &lt;- byte_2 + 256 * byte_3 + X; MV &lt;- (MA); t &lt;- A ^ MV; A &lt;- t |</v>
      </c>
    </row>
    <row r="148" spans="1:1" x14ac:dyDescent="0.2">
      <c r="A148" s="5" t="str">
        <f>"| "&amp;IF(OpCode!B96="",""&amp;OpCode!A96&amp;"","*"&amp;OpCode!A96&amp;"*")&amp;" | "&amp;IF(OpCode!B96="",""&amp;OpCode!C96&amp;"","*"&amp;OpCode!C96&amp;"*")&amp;" | "&amp;OpCode!D96&amp;" | "&amp;OpCode!E96&amp;" | "&amp;OpCode!G96&amp;" | "&amp;SUBSTITUTE(OpCode!H96,"|","/")&amp;" | ```"&amp;OpCode!I96&amp;"``` | "&amp;OpCode!J96&amp;" | "&amp;OpCode!K96&amp;" |"</f>
        <v>| 5E | LSR | abs,X | logic | 3 | 7 | ```0.....ZC``` | LSR $9876,X | MA &lt;- byte_2 + 256 * byte_3 + X; MV &lt;- (MA); t &lt;- MV &gt;&gt; 1; (MA) &lt;- t |</v>
      </c>
    </row>
    <row r="149" spans="1:1" x14ac:dyDescent="0.2">
      <c r="A149" s="5" t="str">
        <f>"| "&amp;IF(OpCode!B97="",""&amp;OpCode!A97&amp;"","*"&amp;OpCode!A97&amp;"*")&amp;" | "&amp;IF(OpCode!B97="",""&amp;OpCode!C97&amp;"","*"&amp;OpCode!C97&amp;"*")&amp;" | "&amp;OpCode!D97&amp;" | "&amp;OpCode!E97&amp;" | "&amp;OpCode!G97&amp;" | "&amp;SUBSTITUTE(OpCode!H97,"|","/")&amp;" | ```"&amp;OpCode!I97&amp;"``` | "&amp;OpCode!J97&amp;" | "&amp;OpCode!K97&amp;" |"</f>
        <v>| *5F* | *BBR5* | dp,rel8 | branch | 3 | 2/3 | ```........``` | BBR5 $10,LABEL | Branch on Bit Reset. Tests a specific bit of a byte held on zero page and causes a branch of the bit is resest (0) |</v>
      </c>
    </row>
    <row r="150" spans="1:1" x14ac:dyDescent="0.2">
      <c r="A150" s="5" t="str">
        <f>"| "&amp;IF(OpCode!B98="",""&amp;OpCode!A98&amp;"","*"&amp;OpCode!A98&amp;"*")&amp;" | "&amp;IF(OpCode!B98="",""&amp;OpCode!C98&amp;"","*"&amp;OpCode!C98&amp;"*")&amp;" | "&amp;OpCode!D98&amp;" | "&amp;OpCode!E98&amp;" | "&amp;OpCode!G98&amp;" | "&amp;SUBSTITUTE(OpCode!H98,"|","/")&amp;" | ```"&amp;OpCode!I98&amp;"``` | "&amp;OpCode!J98&amp;" | "&amp;OpCode!K98&amp;" |"</f>
        <v>| 60 | RTS |  | branch | 1 | 6 | ```........``` | RTS | PC &lt;- (SP) |</v>
      </c>
    </row>
    <row r="151" spans="1:1" x14ac:dyDescent="0.2">
      <c r="A151" s="5" t="str">
        <f>"| "&amp;IF(OpCode!B99="",""&amp;OpCode!A99&amp;"","*"&amp;OpCode!A99&amp;"*")&amp;" | "&amp;IF(OpCode!B99="",""&amp;OpCode!C99&amp;"","*"&amp;OpCode!C99&amp;"*")&amp;" | "&amp;OpCode!D99&amp;" | "&amp;OpCode!E99&amp;" | "&amp;OpCode!G99&amp;" | "&amp;SUBSTITUTE(OpCode!H99,"|","/")&amp;" | ```"&amp;OpCode!I99&amp;"``` | "&amp;OpCode!J99&amp;" | "&amp;OpCode!K99&amp;" |"</f>
        <v>| 61 | ADC | (dp,X) | arith | 2 | 6 | ```NV....ZC``` | ADC ($10,X) | MA &lt;- byte_2 + X; MA &lt;- (MA); MV &lt;- (MA); t &lt;- A + MV + c; A &lt;- t |</v>
      </c>
    </row>
    <row r="152" spans="1:1" x14ac:dyDescent="0.2">
      <c r="A152" s="5" t="str">
        <f>"| "&amp;IF(OpCode!B100="",""&amp;OpCode!A100&amp;"","*"&amp;OpCode!A100&amp;"*")&amp;" | "&amp;IF(OpCode!B100="",""&amp;OpCode!C100&amp;"","*"&amp;OpCode!C100&amp;"*")&amp;" | "&amp;OpCode!D100&amp;" | "&amp;OpCode!E100&amp;" | "&amp;OpCode!G100&amp;" | "&amp;SUBSTITUTE(OpCode!H100,"|","/")&amp;" | ```"&amp;OpCode!I100&amp;"``` | "&amp;OpCode!J100&amp;" | "&amp;OpCode!K100&amp;" |"</f>
        <v>| *62* | *NOP* |  | control | 1 | 2 | ```........``` | NOP | No operation |</v>
      </c>
    </row>
    <row r="153" spans="1:1" x14ac:dyDescent="0.2">
      <c r="A153" s="5" t="str">
        <f>"| "&amp;IF(OpCode!B101="",""&amp;OpCode!A101&amp;"","*"&amp;OpCode!A101&amp;"*")&amp;" | "&amp;IF(OpCode!B101="",""&amp;OpCode!C101&amp;"","*"&amp;OpCode!C101&amp;"*")&amp;" | "&amp;OpCode!D101&amp;" | "&amp;OpCode!E101&amp;" | "&amp;OpCode!G101&amp;" | "&amp;SUBSTITUTE(OpCode!H101,"|","/")&amp;" | ```"&amp;OpCode!I101&amp;"``` | "&amp;OpCode!J101&amp;" | "&amp;OpCode!K101&amp;" |"</f>
        <v>| *63* | *NOP* |  | control | 1 | 2 | ```........``` | NOP | No operation |</v>
      </c>
    </row>
    <row r="154" spans="1:1" x14ac:dyDescent="0.2">
      <c r="A154" s="5" t="str">
        <f>"| "&amp;IF(OpCode!B102="",""&amp;OpCode!A102&amp;"","*"&amp;OpCode!A102&amp;"*")&amp;" | "&amp;IF(OpCode!B102="",""&amp;OpCode!C102&amp;"","*"&amp;OpCode!C102&amp;"*")&amp;" | "&amp;OpCode!D102&amp;" | "&amp;OpCode!E102&amp;" | "&amp;OpCode!G102&amp;" | "&amp;SUBSTITUTE(OpCode!H102,"|","/")&amp;" | ```"&amp;OpCode!I102&amp;"``` | "&amp;OpCode!J102&amp;" | "&amp;OpCode!K102&amp;" |"</f>
        <v>| 64 | STZ | dp | data | 3 | 4 | ```........``` | STZ $10 | MA &lt;- byte_2; (MA) &lt;- 0 |</v>
      </c>
    </row>
    <row r="155" spans="1:1" x14ac:dyDescent="0.2">
      <c r="A155" s="5" t="str">
        <f>"| "&amp;IF(OpCode!B103="",""&amp;OpCode!A103&amp;"","*"&amp;OpCode!A103&amp;"*")&amp;" | "&amp;IF(OpCode!B103="",""&amp;OpCode!C103&amp;"","*"&amp;OpCode!C103&amp;"*")&amp;" | "&amp;OpCode!D103&amp;" | "&amp;OpCode!E103&amp;" | "&amp;OpCode!G103&amp;" | "&amp;SUBSTITUTE(OpCode!H103,"|","/")&amp;" | ```"&amp;OpCode!I103&amp;"``` | "&amp;OpCode!J103&amp;" | "&amp;OpCode!K103&amp;" |"</f>
        <v>| 65 | ADC | dp | arith | 2 | 3 | ```NV....ZC``` | ADC $10 | MA &lt;- byte_2; MV &lt;- (MA); t &lt;- A + MV + c; A &lt;- t |</v>
      </c>
    </row>
    <row r="156" spans="1:1" x14ac:dyDescent="0.2">
      <c r="A156" s="5" t="str">
        <f>"| "&amp;IF(OpCode!B104="",""&amp;OpCode!A104&amp;"","*"&amp;OpCode!A104&amp;"*")&amp;" | "&amp;IF(OpCode!B104="",""&amp;OpCode!C104&amp;"","*"&amp;OpCode!C104&amp;"*")&amp;" | "&amp;OpCode!D104&amp;" | "&amp;OpCode!E104&amp;" | "&amp;OpCode!G104&amp;" | "&amp;SUBSTITUTE(OpCode!H104,"|","/")&amp;" | ```"&amp;OpCode!I104&amp;"``` | "&amp;OpCode!J104&amp;" | "&amp;OpCode!K104&amp;" |"</f>
        <v>| 66 | ROR | dp | logic | 2 | 5 | ```N.....ZC``` | ROR $10 | MA &lt;- byte_2; MV &lt;- (MA); t &lt;- MV &gt;&gt; 1; (MA) &lt;- t |</v>
      </c>
    </row>
    <row r="157" spans="1:1" x14ac:dyDescent="0.2">
      <c r="A157" s="5" t="str">
        <f>"| "&amp;IF(OpCode!B105="",""&amp;OpCode!A105&amp;"","*"&amp;OpCode!A105&amp;"*")&amp;" | "&amp;IF(OpCode!B105="",""&amp;OpCode!C105&amp;"","*"&amp;OpCode!C105&amp;"*")&amp;" | "&amp;OpCode!D105&amp;" | "&amp;OpCode!E105&amp;" | "&amp;OpCode!G105&amp;" | "&amp;SUBSTITUTE(OpCode!H105,"|","/")&amp;" | ```"&amp;OpCode!I105&amp;"``` | "&amp;OpCode!J105&amp;" | "&amp;OpCode!K105&amp;" |"</f>
        <v>| *67* | *RMB6* | dp | logic | 2 | 5 | ```......Z.``` | RMB6 $10 | Reset Memory Bit. Resets a specific bit of a byte held on zero page.  |</v>
      </c>
    </row>
    <row r="158" spans="1:1" x14ac:dyDescent="0.2">
      <c r="A158" s="5" t="str">
        <f>"| "&amp;IF(OpCode!B106="",""&amp;OpCode!A106&amp;"","*"&amp;OpCode!A106&amp;"*")&amp;" | "&amp;IF(OpCode!B106="",""&amp;OpCode!C106&amp;"","*"&amp;OpCode!C106&amp;"*")&amp;" | "&amp;OpCode!D106&amp;" | "&amp;OpCode!E106&amp;" | "&amp;OpCode!G106&amp;" | "&amp;SUBSTITUTE(OpCode!H106,"|","/")&amp;" | ```"&amp;OpCode!I106&amp;"``` | "&amp;OpCode!J106&amp;" | "&amp;OpCode!K106&amp;" |"</f>
        <v>| 68 | PLA |  | stack | 1 | 4 | ```N.....Z.``` | PLA | A &lt;- (SP) |</v>
      </c>
    </row>
    <row r="159" spans="1:1" x14ac:dyDescent="0.2">
      <c r="A159" s="5" t="str">
        <f>"| "&amp;IF(OpCode!B107="",""&amp;OpCode!A107&amp;"","*"&amp;OpCode!A107&amp;"*")&amp;" | "&amp;IF(OpCode!B107="",""&amp;OpCode!C107&amp;"","*"&amp;OpCode!C107&amp;"*")&amp;" | "&amp;OpCode!D107&amp;" | "&amp;OpCode!E107&amp;" | "&amp;OpCode!G107&amp;" | "&amp;SUBSTITUTE(OpCode!H107,"|","/")&amp;" | ```"&amp;OpCode!I107&amp;"``` | "&amp;OpCode!J107&amp;" | "&amp;OpCode!K107&amp;" |"</f>
        <v>| 69 | ADC | imm | arith | 2 | 2 | ```NV....ZC``` | ADC #$54 | t &lt;- A + byte_2 + c; A &lt;- t |</v>
      </c>
    </row>
    <row r="160" spans="1:1" x14ac:dyDescent="0.2">
      <c r="A160" s="5" t="str">
        <f>"| "&amp;IF(OpCode!B108="",""&amp;OpCode!A108&amp;"","*"&amp;OpCode!A108&amp;"*")&amp;" | "&amp;IF(OpCode!B108="",""&amp;OpCode!C108&amp;"","*"&amp;OpCode!C108&amp;"*")&amp;" | "&amp;OpCode!D108&amp;" | "&amp;OpCode!E108&amp;" | "&amp;OpCode!G108&amp;" | "&amp;SUBSTITUTE(OpCode!H108,"|","/")&amp;" | ```"&amp;OpCode!I108&amp;"``` | "&amp;OpCode!J108&amp;" | "&amp;OpCode!K108&amp;" |"</f>
        <v>| 6A | ROR | A | logic | 1 | 2 | ```N.....ZC``` | ROR | t &lt;- A &gt;&gt; 1; A &lt;- t |</v>
      </c>
    </row>
    <row r="161" spans="1:1" x14ac:dyDescent="0.2">
      <c r="A161" s="5" t="str">
        <f>"| "&amp;IF(OpCode!B109="",""&amp;OpCode!A109&amp;"","*"&amp;OpCode!A109&amp;"*")&amp;" | "&amp;IF(OpCode!B109="",""&amp;OpCode!C109&amp;"","*"&amp;OpCode!C109&amp;"*")&amp;" | "&amp;OpCode!D109&amp;" | "&amp;OpCode!E109&amp;" | "&amp;OpCode!G109&amp;" | "&amp;SUBSTITUTE(OpCode!H109,"|","/")&amp;" | ```"&amp;OpCode!I109&amp;"``` | "&amp;OpCode!J109&amp;" | "&amp;OpCode!K109&amp;" |"</f>
        <v>| *6B* | *NOP* |  | control | 1 | 2 | ```........``` | NOP | No operation |</v>
      </c>
    </row>
    <row r="162" spans="1:1" x14ac:dyDescent="0.2">
      <c r="A162" s="5" t="str">
        <f>"| "&amp;IF(OpCode!B110="",""&amp;OpCode!A110&amp;"","*"&amp;OpCode!A110&amp;"*")&amp;" | "&amp;IF(OpCode!B110="",""&amp;OpCode!C110&amp;"","*"&amp;OpCode!C110&amp;"*")&amp;" | "&amp;OpCode!D110&amp;" | "&amp;OpCode!E110&amp;" | "&amp;OpCode!G110&amp;" | "&amp;SUBSTITUTE(OpCode!H110,"|","/")&amp;" | ```"&amp;OpCode!I110&amp;"``` | "&amp;OpCode!J110&amp;" | "&amp;OpCode!K110&amp;" |"</f>
        <v>| 6C | JMP | (abs) | branch | 3 | 5 | ```........``` | JMP ($1234) | MA &lt;- byte_2 + 256 * byte_3; MA &lt;- (MA); PC &lt;- MA |</v>
      </c>
    </row>
    <row r="163" spans="1:1" x14ac:dyDescent="0.2">
      <c r="A163" s="5" t="str">
        <f>"| "&amp;IF(OpCode!B111="",""&amp;OpCode!A111&amp;"","*"&amp;OpCode!A111&amp;"*")&amp;" | "&amp;IF(OpCode!B111="",""&amp;OpCode!C111&amp;"","*"&amp;OpCode!C111&amp;"*")&amp;" | "&amp;OpCode!D111&amp;" | "&amp;OpCode!E111&amp;" | "&amp;OpCode!G111&amp;" | "&amp;SUBSTITUTE(OpCode!H111,"|","/")&amp;" | ```"&amp;OpCode!I111&amp;"``` | "&amp;OpCode!J111&amp;" | "&amp;OpCode!K111&amp;" |"</f>
        <v>| 6D | ADC | abs | arith | 3 | 4 | ```NV....ZC``` | ADC $9876 | MA &lt;- byte_2 + 256 * byte_3; MV &lt;- (MA); t &lt;- A + MV + c; A &lt;- t |</v>
      </c>
    </row>
    <row r="164" spans="1:1" x14ac:dyDescent="0.2">
      <c r="A164" s="5" t="str">
        <f>"| "&amp;IF(OpCode!B112="",""&amp;OpCode!A112&amp;"","*"&amp;OpCode!A112&amp;"*")&amp;" | "&amp;IF(OpCode!B112="",""&amp;OpCode!C112&amp;"","*"&amp;OpCode!C112&amp;"*")&amp;" | "&amp;OpCode!D112&amp;" | "&amp;OpCode!E112&amp;" | "&amp;OpCode!G112&amp;" | "&amp;SUBSTITUTE(OpCode!H112,"|","/")&amp;" | ```"&amp;OpCode!I112&amp;"``` | "&amp;OpCode!J112&amp;" | "&amp;OpCode!K112&amp;" |"</f>
        <v>| 6E | ROR | abs | logic | 3 | 6 | ```N.....ZC``` | ROR $9876 | MA &lt;- byte_2 + 256 * byte_3; MV &lt;- (MA); t &lt;- MV &gt;&gt; 1; (MA) &lt;- t |</v>
      </c>
    </row>
    <row r="165" spans="1:1" x14ac:dyDescent="0.2">
      <c r="A165" s="5" t="str">
        <f>"| "&amp;IF(OpCode!B113="",""&amp;OpCode!A113&amp;"","*"&amp;OpCode!A113&amp;"*")&amp;" | "&amp;IF(OpCode!B113="",""&amp;OpCode!C113&amp;"","*"&amp;OpCode!C113&amp;"*")&amp;" | "&amp;OpCode!D113&amp;" | "&amp;OpCode!E113&amp;" | "&amp;OpCode!G113&amp;" | "&amp;SUBSTITUTE(OpCode!H113,"|","/")&amp;" | ```"&amp;OpCode!I113&amp;"``` | "&amp;OpCode!J113&amp;" | "&amp;OpCode!K113&amp;" |"</f>
        <v>| *6F* | *BBR6* | dp,rel8 | branch | 3 | 2/3 | ```........``` | BBR6 $10,LABEL | Branch on Bit Reset. Tests a specific bit of a byte held on zero page and causes a branch of the bit is resest (0) |</v>
      </c>
    </row>
    <row r="166" spans="1:1" x14ac:dyDescent="0.2">
      <c r="A166" s="5" t="str">
        <f>"| "&amp;IF(OpCode!B114="",""&amp;OpCode!A114&amp;"","*"&amp;OpCode!A114&amp;"*")&amp;" | "&amp;IF(OpCode!B114="",""&amp;OpCode!C114&amp;"","*"&amp;OpCode!C114&amp;"*")&amp;" | "&amp;OpCode!D114&amp;" | "&amp;OpCode!E114&amp;" | "&amp;OpCode!G114&amp;" | "&amp;SUBSTITUTE(OpCode!H114,"|","/")&amp;" | ```"&amp;OpCode!I114&amp;"``` | "&amp;OpCode!J114&amp;" | "&amp;OpCode!K114&amp;" |"</f>
        <v>| 70 | BVS | rel8 | branch | 2 | 2/3 | ```........``` | BVS LABEL | if V , PC &lt;- PC + byte_2 |</v>
      </c>
    </row>
    <row r="167" spans="1:1" x14ac:dyDescent="0.2">
      <c r="A167" s="5" t="str">
        <f>"| "&amp;IF(OpCode!B115="",""&amp;OpCode!A115&amp;"","*"&amp;OpCode!A115&amp;"*")&amp;" | "&amp;IF(OpCode!B115="",""&amp;OpCode!C115&amp;"","*"&amp;OpCode!C115&amp;"*")&amp;" | "&amp;OpCode!D115&amp;" | "&amp;OpCode!E115&amp;" | "&amp;OpCode!G115&amp;" | "&amp;SUBSTITUTE(OpCode!H115,"|","/")&amp;" | ```"&amp;OpCode!I115&amp;"``` | "&amp;OpCode!J115&amp;" | "&amp;OpCode!K115&amp;" |"</f>
        <v>| 71 | ADC | (dp),Y | arith | 2 | 5 | ```NV....ZC``` | ADC ($10),Y | MA &lt;- byte_2; MA &lt;- (MA) + Y; MV &lt;- (MA); t &lt;- A + MV + c; A &lt;- t |</v>
      </c>
    </row>
    <row r="168" spans="1:1" x14ac:dyDescent="0.2">
      <c r="A168" s="5" t="str">
        <f>"| "&amp;IF(OpCode!B116="",""&amp;OpCode!A116&amp;"","*"&amp;OpCode!A116&amp;"*")&amp;" | "&amp;IF(OpCode!B116="",""&amp;OpCode!C116&amp;"","*"&amp;OpCode!C116&amp;"*")&amp;" | "&amp;OpCode!D116&amp;" | "&amp;OpCode!E116&amp;" | "&amp;OpCode!G116&amp;" | "&amp;SUBSTITUTE(OpCode!H116,"|","/")&amp;" | ```"&amp;OpCode!I116&amp;"``` | "&amp;OpCode!J116&amp;" | "&amp;OpCode!K116&amp;" |"</f>
        <v>| 72 | ADC | (dp) | arith | 2 | 5 | ```NV....ZC``` | ADC ($10) | MA &lt;- byte_2; MA &lt;- (MA); MV &lt;- (MA); t &lt;- A + MV + c; A &lt;- t |</v>
      </c>
    </row>
    <row r="169" spans="1:1" x14ac:dyDescent="0.2">
      <c r="A169" s="5" t="str">
        <f>"| "&amp;IF(OpCode!B117="",""&amp;OpCode!A117&amp;"","*"&amp;OpCode!A117&amp;"*")&amp;" | "&amp;IF(OpCode!B117="",""&amp;OpCode!C117&amp;"","*"&amp;OpCode!C117&amp;"*")&amp;" | "&amp;OpCode!D117&amp;" | "&amp;OpCode!E117&amp;" | "&amp;OpCode!G117&amp;" | "&amp;SUBSTITUTE(OpCode!H117,"|","/")&amp;" | ```"&amp;OpCode!I117&amp;"``` | "&amp;OpCode!J117&amp;" | "&amp;OpCode!K117&amp;" |"</f>
        <v>| *73* | *NOP* |  | control | 1 | 2 | ```........``` | NOP | No operation |</v>
      </c>
    </row>
    <row r="170" spans="1:1" x14ac:dyDescent="0.2">
      <c r="A170" s="5" t="str">
        <f>"| "&amp;IF(OpCode!B118="",""&amp;OpCode!A118&amp;"","*"&amp;OpCode!A118&amp;"*")&amp;" | "&amp;IF(OpCode!B118="",""&amp;OpCode!C118&amp;"","*"&amp;OpCode!C118&amp;"*")&amp;" | "&amp;OpCode!D118&amp;" | "&amp;OpCode!E118&amp;" | "&amp;OpCode!G118&amp;" | "&amp;SUBSTITUTE(OpCode!H118,"|","/")&amp;" | ```"&amp;OpCode!I118&amp;"``` | "&amp;OpCode!J118&amp;" | "&amp;OpCode!K118&amp;" |"</f>
        <v>| 74 | STZ | dp,X | data | 2 | 4 | ```........``` | STZ $10,X | MA &lt;- byte_2 + X; (MA) &lt;- 0 |</v>
      </c>
    </row>
    <row r="171" spans="1:1" x14ac:dyDescent="0.2">
      <c r="A171" s="5" t="str">
        <f>"| "&amp;IF(OpCode!B119="",""&amp;OpCode!A119&amp;"","*"&amp;OpCode!A119&amp;"*")&amp;" | "&amp;IF(OpCode!B119="",""&amp;OpCode!C119&amp;"","*"&amp;OpCode!C119&amp;"*")&amp;" | "&amp;OpCode!D119&amp;" | "&amp;OpCode!E119&amp;" | "&amp;OpCode!G119&amp;" | "&amp;SUBSTITUTE(OpCode!H119,"|","/")&amp;" | ```"&amp;OpCode!I119&amp;"``` | "&amp;OpCode!J119&amp;" | "&amp;OpCode!K119&amp;" |"</f>
        <v>| 75 | ADC | dp,X | arith | 2 | 4 | ```NV....ZC``` | ADC $10,X | MA &lt;- byte_2 + X; MV &lt;- (MA); t &lt;- A + MV + c; A &lt;- t |</v>
      </c>
    </row>
    <row r="172" spans="1:1" x14ac:dyDescent="0.2">
      <c r="A172" s="5" t="str">
        <f>"| "&amp;IF(OpCode!B120="",""&amp;OpCode!A120&amp;"","*"&amp;OpCode!A120&amp;"*")&amp;" | "&amp;IF(OpCode!B120="",""&amp;OpCode!C120&amp;"","*"&amp;OpCode!C120&amp;"*")&amp;" | "&amp;OpCode!D120&amp;" | "&amp;OpCode!E120&amp;" | "&amp;OpCode!G120&amp;" | "&amp;SUBSTITUTE(OpCode!H120,"|","/")&amp;" | ```"&amp;OpCode!I120&amp;"``` | "&amp;OpCode!J120&amp;" | "&amp;OpCode!K120&amp;" |"</f>
        <v>| 76 | ROR | dp,X | logic | 2 | 6 | ```N.....ZC``` | ROR $10,X | MA &lt;- byte_2 + X; MV &lt;- (MA); t &lt;- MV &gt;&gt; 1; (MA) &lt;- t |</v>
      </c>
    </row>
    <row r="173" spans="1:1" x14ac:dyDescent="0.2">
      <c r="A173" s="5" t="str">
        <f>"| "&amp;IF(OpCode!B121="",""&amp;OpCode!A121&amp;"","*"&amp;OpCode!A121&amp;"*")&amp;" | "&amp;IF(OpCode!B121="",""&amp;OpCode!C121&amp;"","*"&amp;OpCode!C121&amp;"*")&amp;" | "&amp;OpCode!D121&amp;" | "&amp;OpCode!E121&amp;" | "&amp;OpCode!G121&amp;" | "&amp;SUBSTITUTE(OpCode!H121,"|","/")&amp;" | ```"&amp;OpCode!I121&amp;"``` | "&amp;OpCode!J121&amp;" | "&amp;OpCode!K121&amp;" |"</f>
        <v>| *77* | *RMB7* | dp | logic | 2 | 5 | ```......Z.``` | RMB7 $10 | Reset Memory Bit. Resets a specific bit of a byte held on zero page.  |</v>
      </c>
    </row>
    <row r="174" spans="1:1" x14ac:dyDescent="0.2">
      <c r="A174" s="5" t="str">
        <f>"| "&amp;IF(OpCode!B122="",""&amp;OpCode!A122&amp;"","*"&amp;OpCode!A122&amp;"*")&amp;" | "&amp;IF(OpCode!B122="",""&amp;OpCode!C122&amp;"","*"&amp;OpCode!C122&amp;"*")&amp;" | "&amp;OpCode!D122&amp;" | "&amp;OpCode!E122&amp;" | "&amp;OpCode!G122&amp;" | "&amp;SUBSTITUTE(OpCode!H122,"|","/")&amp;" | ```"&amp;OpCode!I122&amp;"``` | "&amp;OpCode!J122&amp;" | "&amp;OpCode!K122&amp;" |"</f>
        <v>| 78 | SEI |  | control | 1 | 2 | ```.....1..``` | SEI | i &lt;- 1 |</v>
      </c>
    </row>
    <row r="175" spans="1:1" x14ac:dyDescent="0.2">
      <c r="A175" s="5" t="str">
        <f>"| "&amp;IF(OpCode!B123="",""&amp;OpCode!A123&amp;"","*"&amp;OpCode!A123&amp;"*")&amp;" | "&amp;IF(OpCode!B123="",""&amp;OpCode!C123&amp;"","*"&amp;OpCode!C123&amp;"*")&amp;" | "&amp;OpCode!D123&amp;" | "&amp;OpCode!E123&amp;" | "&amp;OpCode!G123&amp;" | "&amp;SUBSTITUTE(OpCode!H123,"|","/")&amp;" | ```"&amp;OpCode!I123&amp;"``` | "&amp;OpCode!J123&amp;" | "&amp;OpCode!K123&amp;" |"</f>
        <v>| 79 | ADC | abs,Y | arith | 3 | 4 | ```NV....ZC``` | ADC $9876,Y | MA &lt;- byte_2 + 256 * byte_3 + Y; MV &lt;- (MA); t &lt;- A + MV + c; A &lt;- t |</v>
      </c>
    </row>
    <row r="176" spans="1:1" x14ac:dyDescent="0.2">
      <c r="A176" s="5" t="str">
        <f>"| "&amp;IF(OpCode!B124="",""&amp;OpCode!A124&amp;"","*"&amp;OpCode!A124&amp;"*")&amp;" | "&amp;IF(OpCode!B124="",""&amp;OpCode!C124&amp;"","*"&amp;OpCode!C124&amp;"*")&amp;" | "&amp;OpCode!D124&amp;" | "&amp;OpCode!E124&amp;" | "&amp;OpCode!G124&amp;" | "&amp;SUBSTITUTE(OpCode!H124,"|","/")&amp;" | ```"&amp;OpCode!I124&amp;"``` | "&amp;OpCode!J124&amp;" | "&amp;OpCode!K124&amp;" |"</f>
        <v>| 7A | PLY |  | stack | 1 | 4 | ```N.....Z.``` | PLY | Y &lt;- (SP) |</v>
      </c>
    </row>
    <row r="177" spans="1:1" x14ac:dyDescent="0.2">
      <c r="A177" s="5" t="str">
        <f>"| "&amp;IF(OpCode!B125="",""&amp;OpCode!A125&amp;"","*"&amp;OpCode!A125&amp;"*")&amp;" | "&amp;IF(OpCode!B125="",""&amp;OpCode!C125&amp;"","*"&amp;OpCode!C125&amp;"*")&amp;" | "&amp;OpCode!D125&amp;" | "&amp;OpCode!E125&amp;" | "&amp;OpCode!G125&amp;" | "&amp;SUBSTITUTE(OpCode!H125,"|","/")&amp;" | ```"&amp;OpCode!I125&amp;"``` | "&amp;OpCode!J125&amp;" | "&amp;OpCode!K125&amp;" |"</f>
        <v>| *7B* | *NOP* |  | control | 1 | 2 | ```........``` | NOP | No operation |</v>
      </c>
    </row>
    <row r="178" spans="1:1" x14ac:dyDescent="0.2">
      <c r="A178" s="5" t="str">
        <f>"| "&amp;IF(OpCode!B126="",""&amp;OpCode!A126&amp;"","*"&amp;OpCode!A126&amp;"*")&amp;" | "&amp;IF(OpCode!B126="",""&amp;OpCode!C126&amp;"","*"&amp;OpCode!C126&amp;"*")&amp;" | "&amp;OpCode!D126&amp;" | "&amp;OpCode!E126&amp;" | "&amp;OpCode!G126&amp;" | "&amp;SUBSTITUTE(OpCode!H126,"|","/")&amp;" | ```"&amp;OpCode!I126&amp;"``` | "&amp;OpCode!J126&amp;" | "&amp;OpCode!K126&amp;" |"</f>
        <v>| 7C | JMP | (abs,X) | branch | 3 | 6 | ```........``` | JMP ($9876,X) | MA &lt;- byte_2 + 256 * byte_3 + X; MA &lt;- (MA); PC &lt;- MA |</v>
      </c>
    </row>
    <row r="179" spans="1:1" x14ac:dyDescent="0.2">
      <c r="A179" s="5" t="str">
        <f>"| "&amp;IF(OpCode!B127="",""&amp;OpCode!A127&amp;"","*"&amp;OpCode!A127&amp;"*")&amp;" | "&amp;IF(OpCode!B127="",""&amp;OpCode!C127&amp;"","*"&amp;OpCode!C127&amp;"*")&amp;" | "&amp;OpCode!D127&amp;" | "&amp;OpCode!E127&amp;" | "&amp;OpCode!G127&amp;" | "&amp;SUBSTITUTE(OpCode!H127,"|","/")&amp;" | ```"&amp;OpCode!I127&amp;"``` | "&amp;OpCode!J127&amp;" | "&amp;OpCode!K127&amp;" |"</f>
        <v>| 7D | ADC | abs,X | arith | 3 | 4 | ```NV....ZC``` | ADC $9876,X | MA &lt;- byte_2 + 256 * byte_3 + X; MV &lt;- (MA); t &lt;- A + MV + c; A &lt;- t |</v>
      </c>
    </row>
    <row r="180" spans="1:1" x14ac:dyDescent="0.2">
      <c r="A180" s="5" t="str">
        <f>"| "&amp;IF(OpCode!B128="",""&amp;OpCode!A128&amp;"","*"&amp;OpCode!A128&amp;"*")&amp;" | "&amp;IF(OpCode!B128="",""&amp;OpCode!C128&amp;"","*"&amp;OpCode!C128&amp;"*")&amp;" | "&amp;OpCode!D128&amp;" | "&amp;OpCode!E128&amp;" | "&amp;OpCode!G128&amp;" | "&amp;SUBSTITUTE(OpCode!H128,"|","/")&amp;" | ```"&amp;OpCode!I128&amp;"``` | "&amp;OpCode!J128&amp;" | "&amp;OpCode!K128&amp;" |"</f>
        <v>| 7E | ROR | abs,X | logic | 3 | 7 | ```N.....ZC``` | ROR $9876,X | MA &lt;- byte_2 + 256 * byte_3 + X; MV &lt;- (MA); t &lt;- MV &gt;&gt; 1; (MA) &lt;- t |</v>
      </c>
    </row>
    <row r="181" spans="1:1" x14ac:dyDescent="0.2">
      <c r="A181" s="5" t="str">
        <f>"| "&amp;IF(OpCode!B129="",""&amp;OpCode!A129&amp;"","*"&amp;OpCode!A129&amp;"*")&amp;" | "&amp;IF(OpCode!B129="",""&amp;OpCode!C129&amp;"","*"&amp;OpCode!C129&amp;"*")&amp;" | "&amp;OpCode!D129&amp;" | "&amp;OpCode!E129&amp;" | "&amp;OpCode!G129&amp;" | "&amp;SUBSTITUTE(OpCode!H129,"|","/")&amp;" | ```"&amp;OpCode!I129&amp;"``` | "&amp;OpCode!J129&amp;" | "&amp;OpCode!K129&amp;" |"</f>
        <v>| *7F* | *BBR7* | dp,rel8 | branch | 3 | 2/3 | ```........``` | BBR7 $10,LABEL | Branch on Bit Reset. Tests a specific bit of a byte held on zero page and causes a branch of the bit is resest (0) |</v>
      </c>
    </row>
    <row r="182" spans="1:1" x14ac:dyDescent="0.2">
      <c r="A182" s="5" t="str">
        <f>"| "&amp;IF(OpCode!B130="",""&amp;OpCode!A130&amp;"","*"&amp;OpCode!A130&amp;"*")&amp;" | "&amp;IF(OpCode!B130="",""&amp;OpCode!C130&amp;"","*"&amp;OpCode!C130&amp;"*")&amp;" | "&amp;OpCode!D130&amp;" | "&amp;OpCode!E130&amp;" | "&amp;OpCode!G130&amp;" | "&amp;SUBSTITUTE(OpCode!H130,"|","/")&amp;" | ```"&amp;OpCode!I130&amp;"``` | "&amp;OpCode!J130&amp;" | "&amp;OpCode!K130&amp;" |"</f>
        <v>| 80 | BRA | rel8 | branch | 2 | 3 | ```........``` | BRA LABEL | PC &lt;- PC + byte_2 |</v>
      </c>
    </row>
    <row r="183" spans="1:1" x14ac:dyDescent="0.2">
      <c r="A183" s="5" t="str">
        <f>"| "&amp;IF(OpCode!B131="",""&amp;OpCode!A131&amp;"","*"&amp;OpCode!A131&amp;"*")&amp;" | "&amp;IF(OpCode!B131="",""&amp;OpCode!C131&amp;"","*"&amp;OpCode!C131&amp;"*")&amp;" | "&amp;OpCode!D131&amp;" | "&amp;OpCode!E131&amp;" | "&amp;OpCode!G131&amp;" | "&amp;SUBSTITUTE(OpCode!H131,"|","/")&amp;" | ```"&amp;OpCode!I131&amp;"``` | "&amp;OpCode!J131&amp;" | "&amp;OpCode!K131&amp;" |"</f>
        <v>| 81 | STA | (dp,X) | data | 2 | 6 | ```........``` | STA ($10,X) | MA &lt;- byte_2 + X; MA &lt;- (MA); (MA) &lt;- A |</v>
      </c>
    </row>
    <row r="184" spans="1:1" x14ac:dyDescent="0.2">
      <c r="A184" s="5" t="str">
        <f>"| "&amp;IF(OpCode!B132="",""&amp;OpCode!A132&amp;"","*"&amp;OpCode!A132&amp;"*")&amp;" | "&amp;IF(OpCode!B132="",""&amp;OpCode!C132&amp;"","*"&amp;OpCode!C132&amp;"*")&amp;" | "&amp;OpCode!D132&amp;" | "&amp;OpCode!E132&amp;" | "&amp;OpCode!G132&amp;" | "&amp;SUBSTITUTE(OpCode!H132,"|","/")&amp;" | ```"&amp;OpCode!I132&amp;"``` | "&amp;OpCode!J132&amp;" | "&amp;OpCode!K132&amp;" |"</f>
        <v>| *82* | *NOP* |  | control | 1 | 2 | ```........``` | NOP | No operation |</v>
      </c>
    </row>
    <row r="185" spans="1:1" x14ac:dyDescent="0.2">
      <c r="A185" s="5" t="str">
        <f>"| "&amp;IF(OpCode!B133="",""&amp;OpCode!A133&amp;"","*"&amp;OpCode!A133&amp;"*")&amp;" | "&amp;IF(OpCode!B133="",""&amp;OpCode!C133&amp;"","*"&amp;OpCode!C133&amp;"*")&amp;" | "&amp;OpCode!D133&amp;" | "&amp;OpCode!E133&amp;" | "&amp;OpCode!G133&amp;" | "&amp;SUBSTITUTE(OpCode!H133,"|","/")&amp;" | ```"&amp;OpCode!I133&amp;"``` | "&amp;OpCode!J133&amp;" | "&amp;OpCode!K133&amp;" |"</f>
        <v>| *83* | *NOP* |  | control | 1 | 2 | ```........``` | NOP | No operation |</v>
      </c>
    </row>
    <row r="186" spans="1:1" x14ac:dyDescent="0.2">
      <c r="A186" s="5" t="str">
        <f>"| "&amp;IF(OpCode!B134="",""&amp;OpCode!A134&amp;"","*"&amp;OpCode!A134&amp;"*")&amp;" | "&amp;IF(OpCode!B134="",""&amp;OpCode!C134&amp;"","*"&amp;OpCode!C134&amp;"*")&amp;" | "&amp;OpCode!D134&amp;" | "&amp;OpCode!E134&amp;" | "&amp;OpCode!G134&amp;" | "&amp;SUBSTITUTE(OpCode!H134,"|","/")&amp;" | ```"&amp;OpCode!I134&amp;"``` | "&amp;OpCode!J134&amp;" | "&amp;OpCode!K134&amp;" |"</f>
        <v>| 84 | STY | dp | data | 2 | 3 | ```........``` | STY $10 | MA &lt;- byte_2; (MA) &lt;- Y |</v>
      </c>
    </row>
    <row r="187" spans="1:1" x14ac:dyDescent="0.2">
      <c r="A187" s="5" t="str">
        <f>"| "&amp;IF(OpCode!B135="",""&amp;OpCode!A135&amp;"","*"&amp;OpCode!A135&amp;"*")&amp;" | "&amp;IF(OpCode!B135="",""&amp;OpCode!C135&amp;"","*"&amp;OpCode!C135&amp;"*")&amp;" | "&amp;OpCode!D135&amp;" | "&amp;OpCode!E135&amp;" | "&amp;OpCode!G135&amp;" | "&amp;SUBSTITUTE(OpCode!H135,"|","/")&amp;" | ```"&amp;OpCode!I135&amp;"``` | "&amp;OpCode!J135&amp;" | "&amp;OpCode!K135&amp;" |"</f>
        <v>| 85 | STA | dp | data | 2 | 3 | ```........``` | STA $10 | MA &lt;- byte_2; (MA) &lt;- A |</v>
      </c>
    </row>
    <row r="188" spans="1:1" x14ac:dyDescent="0.2">
      <c r="A188" s="5" t="str">
        <f>"| "&amp;IF(OpCode!B136="",""&amp;OpCode!A136&amp;"","*"&amp;OpCode!A136&amp;"*")&amp;" | "&amp;IF(OpCode!B136="",""&amp;OpCode!C136&amp;"","*"&amp;OpCode!C136&amp;"*")&amp;" | "&amp;OpCode!D136&amp;" | "&amp;OpCode!E136&amp;" | "&amp;OpCode!G136&amp;" | "&amp;SUBSTITUTE(OpCode!H136,"|","/")&amp;" | ```"&amp;OpCode!I136&amp;"``` | "&amp;OpCode!J136&amp;" | "&amp;OpCode!K136&amp;" |"</f>
        <v>| 86 | STX | dp | data | 2 | 3 | ```........``` | STX $10 | MA &lt;- byte_2; (MA) &lt;- X |</v>
      </c>
    </row>
    <row r="189" spans="1:1" x14ac:dyDescent="0.2">
      <c r="A189" s="5" t="str">
        <f>"| "&amp;IF(OpCode!B137="",""&amp;OpCode!A137&amp;"","*"&amp;OpCode!A137&amp;"*")&amp;" | "&amp;IF(OpCode!B137="",""&amp;OpCode!C137&amp;"","*"&amp;OpCode!C137&amp;"*")&amp;" | "&amp;OpCode!D137&amp;" | "&amp;OpCode!E137&amp;" | "&amp;OpCode!G137&amp;" | "&amp;SUBSTITUTE(OpCode!H137,"|","/")&amp;" | ```"&amp;OpCode!I137&amp;"``` | "&amp;OpCode!J137&amp;" | "&amp;OpCode!K137&amp;" |"</f>
        <v>| *87* | *SMB0* | dp | logic | 2 | 5 | ```......Z.``` | SMB0 $10 | Set Memory Bit. Sets a specific bit of a byte held on zero page.  |</v>
      </c>
    </row>
    <row r="190" spans="1:1" x14ac:dyDescent="0.2">
      <c r="A190" s="5" t="str">
        <f>"| "&amp;IF(OpCode!B138="",""&amp;OpCode!A138&amp;"","*"&amp;OpCode!A138&amp;"*")&amp;" | "&amp;IF(OpCode!B138="",""&amp;OpCode!C138&amp;"","*"&amp;OpCode!C138&amp;"*")&amp;" | "&amp;OpCode!D138&amp;" | "&amp;OpCode!E138&amp;" | "&amp;OpCode!G138&amp;" | "&amp;SUBSTITUTE(OpCode!H138,"|","/")&amp;" | ```"&amp;OpCode!I138&amp;"``` | "&amp;OpCode!J138&amp;" | "&amp;OpCode!K138&amp;" |"</f>
        <v>| 88 | DEY |  | arith | 1 | 2 | ```N.....Z.``` | DEY | t &lt;- Y - 1; Y &lt;- t |</v>
      </c>
    </row>
    <row r="191" spans="1:1" x14ac:dyDescent="0.2">
      <c r="A191" s="5" t="str">
        <f>"| "&amp;IF(OpCode!B139="",""&amp;OpCode!A139&amp;"","*"&amp;OpCode!A139&amp;"*")&amp;" | "&amp;IF(OpCode!B139="",""&amp;OpCode!C139&amp;"","*"&amp;OpCode!C139&amp;"*")&amp;" | "&amp;OpCode!D139&amp;" | "&amp;OpCode!E139&amp;" | "&amp;OpCode!G139&amp;" | "&amp;SUBSTITUTE(OpCode!H139,"|","/")&amp;" | ```"&amp;OpCode!I139&amp;"``` | "&amp;OpCode!J139&amp;" | "&amp;OpCode!K139&amp;" |"</f>
        <v>| 89 | BIT | imm | logic | 2 | 2 | ```NV....Z.``` | BIT #$54 | t &lt;- A &amp; byte_2 |</v>
      </c>
    </row>
    <row r="192" spans="1:1" x14ac:dyDescent="0.2">
      <c r="A192" s="5" t="str">
        <f>"| "&amp;IF(OpCode!B140="",""&amp;OpCode!A140&amp;"","*"&amp;OpCode!A140&amp;"*")&amp;" | "&amp;IF(OpCode!B140="",""&amp;OpCode!C140&amp;"","*"&amp;OpCode!C140&amp;"*")&amp;" | "&amp;OpCode!D140&amp;" | "&amp;OpCode!E140&amp;" | "&amp;OpCode!G140&amp;" | "&amp;SUBSTITUTE(OpCode!H140,"|","/")&amp;" | ```"&amp;OpCode!I140&amp;"``` | "&amp;OpCode!J140&amp;" | "&amp;OpCode!K140&amp;" |"</f>
        <v>| 8A | TXA |  | data | 1 | 2 | ```N.....Z.``` | TXA | A &lt;- X |</v>
      </c>
    </row>
    <row r="193" spans="1:1" x14ac:dyDescent="0.2">
      <c r="A193" s="5" t="str">
        <f>"| "&amp;IF(OpCode!B141="",""&amp;OpCode!A141&amp;"","*"&amp;OpCode!A141&amp;"*")&amp;" | "&amp;IF(OpCode!B141="",""&amp;OpCode!C141&amp;"","*"&amp;OpCode!C141&amp;"*")&amp;" | "&amp;OpCode!D141&amp;" | "&amp;OpCode!E141&amp;" | "&amp;OpCode!G141&amp;" | "&amp;SUBSTITUTE(OpCode!H141,"|","/")&amp;" | ```"&amp;OpCode!I141&amp;"``` | "&amp;OpCode!J141&amp;" | "&amp;OpCode!K141&amp;" |"</f>
        <v>| *8B* | *NOP* |  | control | 1 | 2 | ```........``` | NOP | No operation |</v>
      </c>
    </row>
    <row r="194" spans="1:1" x14ac:dyDescent="0.2">
      <c r="A194" s="5" t="str">
        <f>"| "&amp;IF(OpCode!B142="",""&amp;OpCode!A142&amp;"","*"&amp;OpCode!A142&amp;"*")&amp;" | "&amp;IF(OpCode!B142="",""&amp;OpCode!C142&amp;"","*"&amp;OpCode!C142&amp;"*")&amp;" | "&amp;OpCode!D142&amp;" | "&amp;OpCode!E142&amp;" | "&amp;OpCode!G142&amp;" | "&amp;SUBSTITUTE(OpCode!H142,"|","/")&amp;" | ```"&amp;OpCode!I142&amp;"``` | "&amp;OpCode!J142&amp;" | "&amp;OpCode!K142&amp;" |"</f>
        <v>| 8C | STY | abs | data | 3 | 3 | ```........``` | STY $9876 | MA &lt;- byte_2 + 256 * byte_3; (MA) &lt;- Y |</v>
      </c>
    </row>
    <row r="195" spans="1:1" x14ac:dyDescent="0.2">
      <c r="A195" s="5" t="str">
        <f>"| "&amp;IF(OpCode!B143="",""&amp;OpCode!A143&amp;"","*"&amp;OpCode!A143&amp;"*")&amp;" | "&amp;IF(OpCode!B143="",""&amp;OpCode!C143&amp;"","*"&amp;OpCode!C143&amp;"*")&amp;" | "&amp;OpCode!D143&amp;" | "&amp;OpCode!E143&amp;" | "&amp;OpCode!G143&amp;" | "&amp;SUBSTITUTE(OpCode!H143,"|","/")&amp;" | ```"&amp;OpCode!I143&amp;"``` | "&amp;OpCode!J143&amp;" | "&amp;OpCode!K143&amp;" |"</f>
        <v>| 8D | STA | abs | data | 3 | 3 | ```........``` | STA $9876 | MA &lt;- byte_2 + 256 * byte_3; (MA) &lt;- A |</v>
      </c>
    </row>
    <row r="196" spans="1:1" x14ac:dyDescent="0.2">
      <c r="A196" s="5" t="str">
        <f>"| "&amp;IF(OpCode!B144="",""&amp;OpCode!A144&amp;"","*"&amp;OpCode!A144&amp;"*")&amp;" | "&amp;IF(OpCode!B144="",""&amp;OpCode!C144&amp;"","*"&amp;OpCode!C144&amp;"*")&amp;" | "&amp;OpCode!D144&amp;" | "&amp;OpCode!E144&amp;" | "&amp;OpCode!G144&amp;" | "&amp;SUBSTITUTE(OpCode!H144,"|","/")&amp;" | ```"&amp;OpCode!I144&amp;"``` | "&amp;OpCode!J144&amp;" | "&amp;OpCode!K144&amp;" |"</f>
        <v>| 8E | STX | abs | data | 3 | 3 | ```........``` | STX $9876 | MA &lt;- byte_2 + 256 * byte_3; (MA) &lt;- X |</v>
      </c>
    </row>
    <row r="197" spans="1:1" x14ac:dyDescent="0.2">
      <c r="A197" s="5" t="str">
        <f>"| "&amp;IF(OpCode!B145="",""&amp;OpCode!A145&amp;"","*"&amp;OpCode!A145&amp;"*")&amp;" | "&amp;IF(OpCode!B145="",""&amp;OpCode!C145&amp;"","*"&amp;OpCode!C145&amp;"*")&amp;" | "&amp;OpCode!D145&amp;" | "&amp;OpCode!E145&amp;" | "&amp;OpCode!G145&amp;" | "&amp;SUBSTITUTE(OpCode!H145,"|","/")&amp;" | ```"&amp;OpCode!I145&amp;"``` | "&amp;OpCode!J145&amp;" | "&amp;OpCode!K145&amp;" |"</f>
        <v>| *8F* | *BBS0* | dp,rel8 | branch | 3 | 2/3 | ```........``` | BBS0 $10,LABEL | Branch on Bit Set. Tests a specific bit of a byte held on zero page and causes a branch of the bit is set (1) |</v>
      </c>
    </row>
    <row r="198" spans="1:1" x14ac:dyDescent="0.2">
      <c r="A198" s="5" t="str">
        <f>"| "&amp;IF(OpCode!B146="",""&amp;OpCode!A146&amp;"","*"&amp;OpCode!A146&amp;"*")&amp;" | "&amp;IF(OpCode!B146="",""&amp;OpCode!C146&amp;"","*"&amp;OpCode!C146&amp;"*")&amp;" | "&amp;OpCode!D146&amp;" | "&amp;OpCode!E146&amp;" | "&amp;OpCode!G146&amp;" | "&amp;SUBSTITUTE(OpCode!H146,"|","/")&amp;" | ```"&amp;OpCode!I146&amp;"``` | "&amp;OpCode!J146&amp;" | "&amp;OpCode!K146&amp;" |"</f>
        <v>| 90 | BCC | rel8 | branch | 2 | 2/3 | ```........``` | BCC LABEL | if !C , PC &lt;- PC + byte_2 |</v>
      </c>
    </row>
    <row r="199" spans="1:1" x14ac:dyDescent="0.2">
      <c r="A199" s="5" t="str">
        <f>"| "&amp;IF(OpCode!B147="",""&amp;OpCode!A147&amp;"","*"&amp;OpCode!A147&amp;"*")&amp;" | "&amp;IF(OpCode!B147="",""&amp;OpCode!C147&amp;"","*"&amp;OpCode!C147&amp;"*")&amp;" | "&amp;OpCode!D147&amp;" | "&amp;OpCode!E147&amp;" | "&amp;OpCode!G147&amp;" | "&amp;SUBSTITUTE(OpCode!H147,"|","/")&amp;" | ```"&amp;OpCode!I147&amp;"``` | "&amp;OpCode!J147&amp;" | "&amp;OpCode!K147&amp;" |"</f>
        <v>| 91 | STA | (dp),Y | data | 2 | 6 | ```........``` | STA ($10),Y | MA &lt;- byte_2; MA &lt;- (MA) + Y; (MA) &lt;- A |</v>
      </c>
    </row>
    <row r="200" spans="1:1" x14ac:dyDescent="0.2">
      <c r="A200" s="5" t="str">
        <f>"| "&amp;IF(OpCode!B148="",""&amp;OpCode!A148&amp;"","*"&amp;OpCode!A148&amp;"*")&amp;" | "&amp;IF(OpCode!B148="",""&amp;OpCode!C148&amp;"","*"&amp;OpCode!C148&amp;"*")&amp;" | "&amp;OpCode!D148&amp;" | "&amp;OpCode!E148&amp;" | "&amp;OpCode!G148&amp;" | "&amp;SUBSTITUTE(OpCode!H148,"|","/")&amp;" | ```"&amp;OpCode!I148&amp;"``` | "&amp;OpCode!J148&amp;" | "&amp;OpCode!K148&amp;" |"</f>
        <v>| 92 | STA | (dp) | data | 2 | 5 | ```........``` | STA ($10) | MA &lt;- byte_2; MA &lt;- (MA); (MA) &lt;- A |</v>
      </c>
    </row>
    <row r="201" spans="1:1" x14ac:dyDescent="0.2">
      <c r="A201" s="5" t="str">
        <f>"| "&amp;IF(OpCode!B149="",""&amp;OpCode!A149&amp;"","*"&amp;OpCode!A149&amp;"*")&amp;" | "&amp;IF(OpCode!B149="",""&amp;OpCode!C149&amp;"","*"&amp;OpCode!C149&amp;"*")&amp;" | "&amp;OpCode!D149&amp;" | "&amp;OpCode!E149&amp;" | "&amp;OpCode!G149&amp;" | "&amp;SUBSTITUTE(OpCode!H149,"|","/")&amp;" | ```"&amp;OpCode!I149&amp;"``` | "&amp;OpCode!J149&amp;" | "&amp;OpCode!K149&amp;" |"</f>
        <v>| *93* | *NOP* |  | control | 1 | 2 | ```........``` | NOP | No operation |</v>
      </c>
    </row>
    <row r="202" spans="1:1" x14ac:dyDescent="0.2">
      <c r="A202" s="5" t="str">
        <f>"| "&amp;IF(OpCode!B150="",""&amp;OpCode!A150&amp;"","*"&amp;OpCode!A150&amp;"*")&amp;" | "&amp;IF(OpCode!B150="",""&amp;OpCode!C150&amp;"","*"&amp;OpCode!C150&amp;"*")&amp;" | "&amp;OpCode!D150&amp;" | "&amp;OpCode!E150&amp;" | "&amp;OpCode!G150&amp;" | "&amp;SUBSTITUTE(OpCode!H150,"|","/")&amp;" | ```"&amp;OpCode!I150&amp;"``` | "&amp;OpCode!J150&amp;" | "&amp;OpCode!K150&amp;" |"</f>
        <v>| 94 | STY | dp,X | data | 2 | 4 | ```........``` | STY $10,X | MA &lt;- byte_2 + X; (MA) &lt;- Y |</v>
      </c>
    </row>
    <row r="203" spans="1:1" x14ac:dyDescent="0.2">
      <c r="A203" s="5" t="str">
        <f>"| "&amp;IF(OpCode!B151="",""&amp;OpCode!A151&amp;"","*"&amp;OpCode!A151&amp;"*")&amp;" | "&amp;IF(OpCode!B151="",""&amp;OpCode!C151&amp;"","*"&amp;OpCode!C151&amp;"*")&amp;" | "&amp;OpCode!D151&amp;" | "&amp;OpCode!E151&amp;" | "&amp;OpCode!G151&amp;" | "&amp;SUBSTITUTE(OpCode!H151,"|","/")&amp;" | ```"&amp;OpCode!I151&amp;"``` | "&amp;OpCode!J151&amp;" | "&amp;OpCode!K151&amp;" |"</f>
        <v>| 95 | STA | dp,X | data | 2 | 4 | ```........``` | STA $10,X | MA &lt;- byte_2 + X; (MA) &lt;- A |</v>
      </c>
    </row>
    <row r="204" spans="1:1" x14ac:dyDescent="0.2">
      <c r="A204" s="5" t="str">
        <f>"| "&amp;IF(OpCode!B152="",""&amp;OpCode!A152&amp;"","*"&amp;OpCode!A152&amp;"*")&amp;" | "&amp;IF(OpCode!B152="",""&amp;OpCode!C152&amp;"","*"&amp;OpCode!C152&amp;"*")&amp;" | "&amp;OpCode!D152&amp;" | "&amp;OpCode!E152&amp;" | "&amp;OpCode!G152&amp;" | "&amp;SUBSTITUTE(OpCode!H152,"|","/")&amp;" | ```"&amp;OpCode!I152&amp;"``` | "&amp;OpCode!J152&amp;" | "&amp;OpCode!K152&amp;" |"</f>
        <v>| 96 | STX | dp,Y | data | 2 | 4 | ```........``` | STX $10,Y | MA &lt;- byte_2 + Y; (MA) &lt;- X |</v>
      </c>
    </row>
    <row r="205" spans="1:1" x14ac:dyDescent="0.2">
      <c r="A205" s="5" t="str">
        <f>"| "&amp;IF(OpCode!B153="",""&amp;OpCode!A153&amp;"","*"&amp;OpCode!A153&amp;"*")&amp;" | "&amp;IF(OpCode!B153="",""&amp;OpCode!C153&amp;"","*"&amp;OpCode!C153&amp;"*")&amp;" | "&amp;OpCode!D153&amp;" | "&amp;OpCode!E153&amp;" | "&amp;OpCode!G153&amp;" | "&amp;SUBSTITUTE(OpCode!H153,"|","/")&amp;" | ```"&amp;OpCode!I153&amp;"``` | "&amp;OpCode!J153&amp;" | "&amp;OpCode!K153&amp;" |"</f>
        <v>| *97* | *SMB1* | dp | logic | 2 | 5 | ```......Z.``` | SMB1 $10 | Set Memory Bit. Sets a specific bit of a byte held on zero page.  |</v>
      </c>
    </row>
    <row r="206" spans="1:1" x14ac:dyDescent="0.2">
      <c r="A206" s="5" t="str">
        <f>"| "&amp;IF(OpCode!B154="",""&amp;OpCode!A154&amp;"","*"&amp;OpCode!A154&amp;"*")&amp;" | "&amp;IF(OpCode!B154="",""&amp;OpCode!C154&amp;"","*"&amp;OpCode!C154&amp;"*")&amp;" | "&amp;OpCode!D154&amp;" | "&amp;OpCode!E154&amp;" | "&amp;OpCode!G154&amp;" | "&amp;SUBSTITUTE(OpCode!H154,"|","/")&amp;" | ```"&amp;OpCode!I154&amp;"``` | "&amp;OpCode!J154&amp;" | "&amp;OpCode!K154&amp;" |"</f>
        <v>| 98 | TYA |  | data | 1 | 2 | ```N.....Z.``` | TYA | A &lt;- Y |</v>
      </c>
    </row>
    <row r="207" spans="1:1" x14ac:dyDescent="0.2">
      <c r="A207" s="5" t="str">
        <f>"| "&amp;IF(OpCode!B155="",""&amp;OpCode!A155&amp;"","*"&amp;OpCode!A155&amp;"*")&amp;" | "&amp;IF(OpCode!B155="",""&amp;OpCode!C155&amp;"","*"&amp;OpCode!C155&amp;"*")&amp;" | "&amp;OpCode!D155&amp;" | "&amp;OpCode!E155&amp;" | "&amp;OpCode!G155&amp;" | "&amp;SUBSTITUTE(OpCode!H155,"|","/")&amp;" | ```"&amp;OpCode!I155&amp;"``` | "&amp;OpCode!J155&amp;" | "&amp;OpCode!K155&amp;" |"</f>
        <v>| 99 | STA | abs,Y | data | 3 | 5 | ```........``` | STA $9876,Y | MA &lt;- byte_2 + 256 * byte_3 + Y; (MA) &lt;- A |</v>
      </c>
    </row>
    <row r="208" spans="1:1" x14ac:dyDescent="0.2">
      <c r="A208" s="5" t="str">
        <f>"| "&amp;IF(OpCode!B156="",""&amp;OpCode!A156&amp;"","*"&amp;OpCode!A156&amp;"*")&amp;" | "&amp;IF(OpCode!B156="",""&amp;OpCode!C156&amp;"","*"&amp;OpCode!C156&amp;"*")&amp;" | "&amp;OpCode!D156&amp;" | "&amp;OpCode!E156&amp;" | "&amp;OpCode!G156&amp;" | "&amp;SUBSTITUTE(OpCode!H156,"|","/")&amp;" | ```"&amp;OpCode!I156&amp;"``` | "&amp;OpCode!J156&amp;" | "&amp;OpCode!K156&amp;" |"</f>
        <v>| 9A | TXS |  | stack | 1 | 2 | ```........``` | TXS | S &lt;- X |</v>
      </c>
    </row>
    <row r="209" spans="1:1" x14ac:dyDescent="0.2">
      <c r="A209" s="5" t="str">
        <f>"| "&amp;IF(OpCode!B157="",""&amp;OpCode!A157&amp;"","*"&amp;OpCode!A157&amp;"*")&amp;" | "&amp;IF(OpCode!B157="",""&amp;OpCode!C157&amp;"","*"&amp;OpCode!C157&amp;"*")&amp;" | "&amp;OpCode!D157&amp;" | "&amp;OpCode!E157&amp;" | "&amp;OpCode!G157&amp;" | "&amp;SUBSTITUTE(OpCode!H157,"|","/")&amp;" | ```"&amp;OpCode!I157&amp;"``` | "&amp;OpCode!J157&amp;" | "&amp;OpCode!K157&amp;" |"</f>
        <v>| *9B* | *NOP* |  | control | 1 | 2 | ```........``` | NOP | No operation |</v>
      </c>
    </row>
    <row r="210" spans="1:1" x14ac:dyDescent="0.2">
      <c r="A210" s="5" t="str">
        <f>"| "&amp;IF(OpCode!B158="",""&amp;OpCode!A158&amp;"","*"&amp;OpCode!A158&amp;"*")&amp;" | "&amp;IF(OpCode!B158="",""&amp;OpCode!C158&amp;"","*"&amp;OpCode!C158&amp;"*")&amp;" | "&amp;OpCode!D158&amp;" | "&amp;OpCode!E158&amp;" | "&amp;OpCode!G158&amp;" | "&amp;SUBSTITUTE(OpCode!H158,"|","/")&amp;" | ```"&amp;OpCode!I158&amp;"``` | "&amp;OpCode!J158&amp;" | "&amp;OpCode!K158&amp;" |"</f>
        <v>| 9C | STZ | abs | data | 3 | 4 | ```........``` | STZ $9876 | MA &lt;- byte_2 + 256 * byte_3; (MA) &lt;- 0 |</v>
      </c>
    </row>
    <row r="211" spans="1:1" x14ac:dyDescent="0.2">
      <c r="A211" s="5" t="str">
        <f>"| "&amp;IF(OpCode!B159="",""&amp;OpCode!A159&amp;"","*"&amp;OpCode!A159&amp;"*")&amp;" | "&amp;IF(OpCode!B159="",""&amp;OpCode!C159&amp;"","*"&amp;OpCode!C159&amp;"*")&amp;" | "&amp;OpCode!D159&amp;" | "&amp;OpCode!E159&amp;" | "&amp;OpCode!G159&amp;" | "&amp;SUBSTITUTE(OpCode!H159,"|","/")&amp;" | ```"&amp;OpCode!I159&amp;"``` | "&amp;OpCode!J159&amp;" | "&amp;OpCode!K159&amp;" |"</f>
        <v>| 9D | STA | abs,X | data | 3 | 5 | ```........``` | STA $9876,X | MA &lt;- byte_2 + 256 * byte_3 + X; (MA) &lt;- A |</v>
      </c>
    </row>
    <row r="212" spans="1:1" x14ac:dyDescent="0.2">
      <c r="A212" s="5" t="str">
        <f>"| "&amp;IF(OpCode!B160="",""&amp;OpCode!A160&amp;"","*"&amp;OpCode!A160&amp;"*")&amp;" | "&amp;IF(OpCode!B160="",""&amp;OpCode!C160&amp;"","*"&amp;OpCode!C160&amp;"*")&amp;" | "&amp;OpCode!D160&amp;" | "&amp;OpCode!E160&amp;" | "&amp;OpCode!G160&amp;" | "&amp;SUBSTITUTE(OpCode!H160,"|","/")&amp;" | ```"&amp;OpCode!I160&amp;"``` | "&amp;OpCode!J160&amp;" | "&amp;OpCode!K160&amp;" |"</f>
        <v>| 9E | STZ | abs,X | data | 3 | 5 | ```........``` | STZ $9876,X | MA &lt;- byte_2 + 256 * byte_3 + X; (MA) &lt;- 0 |</v>
      </c>
    </row>
    <row r="213" spans="1:1" x14ac:dyDescent="0.2">
      <c r="A213" s="5" t="str">
        <f>"| "&amp;IF(OpCode!B161="",""&amp;OpCode!A161&amp;"","*"&amp;OpCode!A161&amp;"*")&amp;" | "&amp;IF(OpCode!B161="",""&amp;OpCode!C161&amp;"","*"&amp;OpCode!C161&amp;"*")&amp;" | "&amp;OpCode!D161&amp;" | "&amp;OpCode!E161&amp;" | "&amp;OpCode!G161&amp;" | "&amp;SUBSTITUTE(OpCode!H161,"|","/")&amp;" | ```"&amp;OpCode!I161&amp;"``` | "&amp;OpCode!J161&amp;" | "&amp;OpCode!K161&amp;" |"</f>
        <v>| *9F* | *BBS1* | dp,rel8 | branch | 3 | 2/3 | ```........``` | BBS1 $10,LABEL | Branch on Bit Set. Tests a specific bit of a byte held on zero page and causes a branch of the bit is set (1) |</v>
      </c>
    </row>
    <row r="214" spans="1:1" x14ac:dyDescent="0.2">
      <c r="A214" s="5" t="str">
        <f>"| "&amp;IF(OpCode!B162="",""&amp;OpCode!A162&amp;"","*"&amp;OpCode!A162&amp;"*")&amp;" | "&amp;IF(OpCode!B162="",""&amp;OpCode!C162&amp;"","*"&amp;OpCode!C162&amp;"*")&amp;" | "&amp;OpCode!D162&amp;" | "&amp;OpCode!E162&amp;" | "&amp;OpCode!G162&amp;" | "&amp;SUBSTITUTE(OpCode!H162,"|","/")&amp;" | ```"&amp;OpCode!I162&amp;"``` | "&amp;OpCode!J162&amp;" | "&amp;OpCode!K162&amp;" |"</f>
        <v>| A0 | LDY | imm | data | 2 | 2 | ```N.....Z.``` | LDY #$54 | Y &lt;- byte_2 |</v>
      </c>
    </row>
    <row r="215" spans="1:1" x14ac:dyDescent="0.2">
      <c r="A215" s="5" t="str">
        <f>"| "&amp;IF(OpCode!B163="",""&amp;OpCode!A163&amp;"","*"&amp;OpCode!A163&amp;"*")&amp;" | "&amp;IF(OpCode!B163="",""&amp;OpCode!C163&amp;"","*"&amp;OpCode!C163&amp;"*")&amp;" | "&amp;OpCode!D163&amp;" | "&amp;OpCode!E163&amp;" | "&amp;OpCode!G163&amp;" | "&amp;SUBSTITUTE(OpCode!H163,"|","/")&amp;" | ```"&amp;OpCode!I163&amp;"``` | "&amp;OpCode!J163&amp;" | "&amp;OpCode!K163&amp;" |"</f>
        <v>| A1 | LDA | (dp,X) | data | 2 | 6 | ```N.....Z.``` | LDA ($10,X) | MA &lt;- byte_2 + X; MA &lt;- (MA); A &lt;- (MA) |</v>
      </c>
    </row>
    <row r="216" spans="1:1" x14ac:dyDescent="0.2">
      <c r="A216" s="5" t="str">
        <f>"| "&amp;IF(OpCode!B164="",""&amp;OpCode!A164&amp;"","*"&amp;OpCode!A164&amp;"*")&amp;" | "&amp;IF(OpCode!B164="",""&amp;OpCode!C164&amp;"","*"&amp;OpCode!C164&amp;"*")&amp;" | "&amp;OpCode!D164&amp;" | "&amp;OpCode!E164&amp;" | "&amp;OpCode!G164&amp;" | "&amp;SUBSTITUTE(OpCode!H164,"|","/")&amp;" | ```"&amp;OpCode!I164&amp;"``` | "&amp;OpCode!J164&amp;" | "&amp;OpCode!K164&amp;" |"</f>
        <v>| A2 | LDX | imm | data | 2 | 2 | ```N.....Z.``` | LDX #$54 | X &lt;- byte_2 |</v>
      </c>
    </row>
    <row r="217" spans="1:1" x14ac:dyDescent="0.2">
      <c r="A217" s="5" t="str">
        <f>"| "&amp;IF(OpCode!B165="",""&amp;OpCode!A165&amp;"","*"&amp;OpCode!A165&amp;"*")&amp;" | "&amp;IF(OpCode!B165="",""&amp;OpCode!C165&amp;"","*"&amp;OpCode!C165&amp;"*")&amp;" | "&amp;OpCode!D165&amp;" | "&amp;OpCode!E165&amp;" | "&amp;OpCode!G165&amp;" | "&amp;SUBSTITUTE(OpCode!H165,"|","/")&amp;" | ```"&amp;OpCode!I165&amp;"``` | "&amp;OpCode!J165&amp;" | "&amp;OpCode!K165&amp;" |"</f>
        <v>| *A3* | *NOP* |  | control | 1 | 2 | ```........``` | NOP | No operation |</v>
      </c>
    </row>
    <row r="218" spans="1:1" x14ac:dyDescent="0.2">
      <c r="A218" s="5" t="str">
        <f>"| "&amp;IF(OpCode!B166="",""&amp;OpCode!A166&amp;"","*"&amp;OpCode!A166&amp;"*")&amp;" | "&amp;IF(OpCode!B166="",""&amp;OpCode!C166&amp;"","*"&amp;OpCode!C166&amp;"*")&amp;" | "&amp;OpCode!D166&amp;" | "&amp;OpCode!E166&amp;" | "&amp;OpCode!G166&amp;" | "&amp;SUBSTITUTE(OpCode!H166,"|","/")&amp;" | ```"&amp;OpCode!I166&amp;"``` | "&amp;OpCode!J166&amp;" | "&amp;OpCode!K166&amp;" |"</f>
        <v>| A4 | LDY | dp | data | 2 | 3 | ```N.....Z.``` | LDY $10 | MA &lt;- byte_2; Y &lt;- (MA) |</v>
      </c>
    </row>
    <row r="219" spans="1:1" x14ac:dyDescent="0.2">
      <c r="A219" s="5" t="str">
        <f>"| "&amp;IF(OpCode!B167="",""&amp;OpCode!A167&amp;"","*"&amp;OpCode!A167&amp;"*")&amp;" | "&amp;IF(OpCode!B167="",""&amp;OpCode!C167&amp;"","*"&amp;OpCode!C167&amp;"*")&amp;" | "&amp;OpCode!D167&amp;" | "&amp;OpCode!E167&amp;" | "&amp;OpCode!G167&amp;" | "&amp;SUBSTITUTE(OpCode!H167,"|","/")&amp;" | ```"&amp;OpCode!I167&amp;"``` | "&amp;OpCode!J167&amp;" | "&amp;OpCode!K167&amp;" |"</f>
        <v>| A5 | LDA | dp | data | 2 | 3 | ```N.....Z.``` | LDA $10 | MA &lt;- byte_2; A &lt;- (MA) |</v>
      </c>
    </row>
    <row r="220" spans="1:1" x14ac:dyDescent="0.2">
      <c r="A220" s="5" t="str">
        <f>"| "&amp;IF(OpCode!B168="",""&amp;OpCode!A168&amp;"","*"&amp;OpCode!A168&amp;"*")&amp;" | "&amp;IF(OpCode!B168="",""&amp;OpCode!C168&amp;"","*"&amp;OpCode!C168&amp;"*")&amp;" | "&amp;OpCode!D168&amp;" | "&amp;OpCode!E168&amp;" | "&amp;OpCode!G168&amp;" | "&amp;SUBSTITUTE(OpCode!H168,"|","/")&amp;" | ```"&amp;OpCode!I168&amp;"``` | "&amp;OpCode!J168&amp;" | "&amp;OpCode!K168&amp;" |"</f>
        <v>| A6 | LDX | dp | data | 2 | 3 | ```N.....Z.``` | LDX $10 | MA &lt;- byte_2; X &lt;- (MA) |</v>
      </c>
    </row>
    <row r="221" spans="1:1" x14ac:dyDescent="0.2">
      <c r="A221" s="5" t="str">
        <f>"| "&amp;IF(OpCode!B169="",""&amp;OpCode!A169&amp;"","*"&amp;OpCode!A169&amp;"*")&amp;" | "&amp;IF(OpCode!B169="",""&amp;OpCode!C169&amp;"","*"&amp;OpCode!C169&amp;"*")&amp;" | "&amp;OpCode!D169&amp;" | "&amp;OpCode!E169&amp;" | "&amp;OpCode!G169&amp;" | "&amp;SUBSTITUTE(OpCode!H169,"|","/")&amp;" | ```"&amp;OpCode!I169&amp;"``` | "&amp;OpCode!J169&amp;" | "&amp;OpCode!K169&amp;" |"</f>
        <v>| *A7* | *SMB2* | dp | logic | 2 | 5 | ```......Z.``` | SMB2 $10 | Set Memory Bit. Sets a specific bit of a byte held on zero page.  |</v>
      </c>
    </row>
    <row r="222" spans="1:1" x14ac:dyDescent="0.2">
      <c r="A222" s="5" t="str">
        <f>"| "&amp;IF(OpCode!B170="",""&amp;OpCode!A170&amp;"","*"&amp;OpCode!A170&amp;"*")&amp;" | "&amp;IF(OpCode!B170="",""&amp;OpCode!C170&amp;"","*"&amp;OpCode!C170&amp;"*")&amp;" | "&amp;OpCode!D170&amp;" | "&amp;OpCode!E170&amp;" | "&amp;OpCode!G170&amp;" | "&amp;SUBSTITUTE(OpCode!H170,"|","/")&amp;" | ```"&amp;OpCode!I170&amp;"``` | "&amp;OpCode!J170&amp;" | "&amp;OpCode!K170&amp;" |"</f>
        <v>| A8 | TAY |  | data | 1 | 2 | ```N.....Z.``` | TAY | Y &lt;- A |</v>
      </c>
    </row>
    <row r="223" spans="1:1" x14ac:dyDescent="0.2">
      <c r="A223" s="5" t="str">
        <f>"| "&amp;IF(OpCode!B171="",""&amp;OpCode!A171&amp;"","*"&amp;OpCode!A171&amp;"*")&amp;" | "&amp;IF(OpCode!B171="",""&amp;OpCode!C171&amp;"","*"&amp;OpCode!C171&amp;"*")&amp;" | "&amp;OpCode!D171&amp;" | "&amp;OpCode!E171&amp;" | "&amp;OpCode!G171&amp;" | "&amp;SUBSTITUTE(OpCode!H171,"|","/")&amp;" | ```"&amp;OpCode!I171&amp;"``` | "&amp;OpCode!J171&amp;" | "&amp;OpCode!K171&amp;" |"</f>
        <v>| A9 | LDA | imm | data | 2 | 2 | ```N.....Z.``` | LDA #$54 | A &lt;- byte_2 |</v>
      </c>
    </row>
    <row r="224" spans="1:1" x14ac:dyDescent="0.2">
      <c r="A224" s="5" t="str">
        <f>"| "&amp;IF(OpCode!B172="",""&amp;OpCode!A172&amp;"","*"&amp;OpCode!A172&amp;"*")&amp;" | "&amp;IF(OpCode!B172="",""&amp;OpCode!C172&amp;"","*"&amp;OpCode!C172&amp;"*")&amp;" | "&amp;OpCode!D172&amp;" | "&amp;OpCode!E172&amp;" | "&amp;OpCode!G172&amp;" | "&amp;SUBSTITUTE(OpCode!H172,"|","/")&amp;" | ```"&amp;OpCode!I172&amp;"``` | "&amp;OpCode!J172&amp;" | "&amp;OpCode!K172&amp;" |"</f>
        <v>| AA | TAX |  | data | 1 | 2 | ```N.....Z.``` | TAX | X &lt;- A |</v>
      </c>
    </row>
    <row r="225" spans="1:1" x14ac:dyDescent="0.2">
      <c r="A225" s="5" t="str">
        <f>"| "&amp;IF(OpCode!B173="",""&amp;OpCode!A173&amp;"","*"&amp;OpCode!A173&amp;"*")&amp;" | "&amp;IF(OpCode!B173="",""&amp;OpCode!C173&amp;"","*"&amp;OpCode!C173&amp;"*")&amp;" | "&amp;OpCode!D173&amp;" | "&amp;OpCode!E173&amp;" | "&amp;OpCode!G173&amp;" | "&amp;SUBSTITUTE(OpCode!H173,"|","/")&amp;" | ```"&amp;OpCode!I173&amp;"``` | "&amp;OpCode!J173&amp;" | "&amp;OpCode!K173&amp;" |"</f>
        <v>| *AB* | *NOP* |  | control | 1 | 2 | ```........``` | NOP | No operation |</v>
      </c>
    </row>
    <row r="226" spans="1:1" x14ac:dyDescent="0.2">
      <c r="A226" s="5" t="str">
        <f>"| "&amp;IF(OpCode!B174="",""&amp;OpCode!A174&amp;"","*"&amp;OpCode!A174&amp;"*")&amp;" | "&amp;IF(OpCode!B174="",""&amp;OpCode!C174&amp;"","*"&amp;OpCode!C174&amp;"*")&amp;" | "&amp;OpCode!D174&amp;" | "&amp;OpCode!E174&amp;" | "&amp;OpCode!G174&amp;" | "&amp;SUBSTITUTE(OpCode!H174,"|","/")&amp;" | ```"&amp;OpCode!I174&amp;"``` | "&amp;OpCode!J174&amp;" | "&amp;OpCode!K174&amp;" |"</f>
        <v>| AC | LDY | abs | data | 3 | 4 | ```N.....Z.``` | LDY $9876 | MA &lt;- byte_2 + 256 * byte_3; Y &lt;- (MA) |</v>
      </c>
    </row>
    <row r="227" spans="1:1" x14ac:dyDescent="0.2">
      <c r="A227" s="5" t="str">
        <f>"| "&amp;IF(OpCode!B175="",""&amp;OpCode!A175&amp;"","*"&amp;OpCode!A175&amp;"*")&amp;" | "&amp;IF(OpCode!B175="",""&amp;OpCode!C175&amp;"","*"&amp;OpCode!C175&amp;"*")&amp;" | "&amp;OpCode!D175&amp;" | "&amp;OpCode!E175&amp;" | "&amp;OpCode!G175&amp;" | "&amp;SUBSTITUTE(OpCode!H175,"|","/")&amp;" | ```"&amp;OpCode!I175&amp;"``` | "&amp;OpCode!J175&amp;" | "&amp;OpCode!K175&amp;" |"</f>
        <v>| AD | LDA | abs | data | 3 | 4 | ```N.....Z.``` | LDA $9876 | MA &lt;- byte_2 + 256 * byte_3; A &lt;- (MA) |</v>
      </c>
    </row>
    <row r="228" spans="1:1" x14ac:dyDescent="0.2">
      <c r="A228" s="5" t="str">
        <f>"| "&amp;IF(OpCode!B176="",""&amp;OpCode!A176&amp;"","*"&amp;OpCode!A176&amp;"*")&amp;" | "&amp;IF(OpCode!B176="",""&amp;OpCode!C176&amp;"","*"&amp;OpCode!C176&amp;"*")&amp;" | "&amp;OpCode!D176&amp;" | "&amp;OpCode!E176&amp;" | "&amp;OpCode!G176&amp;" | "&amp;SUBSTITUTE(OpCode!H176,"|","/")&amp;" | ```"&amp;OpCode!I176&amp;"``` | "&amp;OpCode!J176&amp;" | "&amp;OpCode!K176&amp;" |"</f>
        <v>| AE | LDX | abs | data | 3 | 4 | ```N.....Z.``` | LDX $9876 | MA &lt;- byte_2 + 256 * byte_3; X &lt;- (MA) |</v>
      </c>
    </row>
    <row r="229" spans="1:1" x14ac:dyDescent="0.2">
      <c r="A229" s="5" t="str">
        <f>"| "&amp;IF(OpCode!B177="",""&amp;OpCode!A177&amp;"","*"&amp;OpCode!A177&amp;"*")&amp;" | "&amp;IF(OpCode!B177="",""&amp;OpCode!C177&amp;"","*"&amp;OpCode!C177&amp;"*")&amp;" | "&amp;OpCode!D177&amp;" | "&amp;OpCode!E177&amp;" | "&amp;OpCode!G177&amp;" | "&amp;SUBSTITUTE(OpCode!H177,"|","/")&amp;" | ```"&amp;OpCode!I177&amp;"``` | "&amp;OpCode!J177&amp;" | "&amp;OpCode!K177&amp;" |"</f>
        <v>| *AF* | *BBS2* | dp,rel8 | branch | 3 | 2/3 | ```........``` | BBS2 $10,LABEL | Branch on Bit Set. Tests a specific bit of a byte held on zero page and causes a branch of the bit is set (1) |</v>
      </c>
    </row>
    <row r="230" spans="1:1" x14ac:dyDescent="0.2">
      <c r="A230" s="5" t="str">
        <f>"| "&amp;IF(OpCode!B178="",""&amp;OpCode!A178&amp;"","*"&amp;OpCode!A178&amp;"*")&amp;" | "&amp;IF(OpCode!B178="",""&amp;OpCode!C178&amp;"","*"&amp;OpCode!C178&amp;"*")&amp;" | "&amp;OpCode!D178&amp;" | "&amp;OpCode!E178&amp;" | "&amp;OpCode!G178&amp;" | "&amp;SUBSTITUTE(OpCode!H178,"|","/")&amp;" | ```"&amp;OpCode!I178&amp;"``` | "&amp;OpCode!J178&amp;" | "&amp;OpCode!K178&amp;" |"</f>
        <v>| B0 | BCS | rel8 | branch | 2 | 2/3 | ```........``` | BCS LABEL | if C , PC &lt;- PC + byte_2 |</v>
      </c>
    </row>
    <row r="231" spans="1:1" x14ac:dyDescent="0.2">
      <c r="A231" s="5" t="str">
        <f>"| "&amp;IF(OpCode!B179="",""&amp;OpCode!A179&amp;"","*"&amp;OpCode!A179&amp;"*")&amp;" | "&amp;IF(OpCode!B179="",""&amp;OpCode!C179&amp;"","*"&amp;OpCode!C179&amp;"*")&amp;" | "&amp;OpCode!D179&amp;" | "&amp;OpCode!E179&amp;" | "&amp;OpCode!G179&amp;" | "&amp;SUBSTITUTE(OpCode!H179,"|","/")&amp;" | ```"&amp;OpCode!I179&amp;"``` | "&amp;OpCode!J179&amp;" | "&amp;OpCode!K179&amp;" |"</f>
        <v>| B1 | LDA | (dp),Y | data | 2 | 5 | ```N.....Z.``` | LDA ($10),Y | MA &lt;- byte_2; MA &lt;- (MA) + Y; A &lt;- (MA) |</v>
      </c>
    </row>
    <row r="232" spans="1:1" x14ac:dyDescent="0.2">
      <c r="A232" s="5" t="str">
        <f>"| "&amp;IF(OpCode!B180="",""&amp;OpCode!A180&amp;"","*"&amp;OpCode!A180&amp;"*")&amp;" | "&amp;IF(OpCode!B180="",""&amp;OpCode!C180&amp;"","*"&amp;OpCode!C180&amp;"*")&amp;" | "&amp;OpCode!D180&amp;" | "&amp;OpCode!E180&amp;" | "&amp;OpCode!G180&amp;" | "&amp;SUBSTITUTE(OpCode!H180,"|","/")&amp;" | ```"&amp;OpCode!I180&amp;"``` | "&amp;OpCode!J180&amp;" | "&amp;OpCode!K180&amp;" |"</f>
        <v>| B2 | LDA | (dp) | data | 2 | 5 | ```N.....Z.``` | LDA ($10) | MA &lt;- byte_2; MA &lt;- (MA); A &lt;- (MA) |</v>
      </c>
    </row>
    <row r="233" spans="1:1" x14ac:dyDescent="0.2">
      <c r="A233" s="5" t="str">
        <f>"| "&amp;IF(OpCode!B181="",""&amp;OpCode!A181&amp;"","*"&amp;OpCode!A181&amp;"*")&amp;" | "&amp;IF(OpCode!B181="",""&amp;OpCode!C181&amp;"","*"&amp;OpCode!C181&amp;"*")&amp;" | "&amp;OpCode!D181&amp;" | "&amp;OpCode!E181&amp;" | "&amp;OpCode!G181&amp;" | "&amp;SUBSTITUTE(OpCode!H181,"|","/")&amp;" | ```"&amp;OpCode!I181&amp;"``` | "&amp;OpCode!J181&amp;" | "&amp;OpCode!K181&amp;" |"</f>
        <v>| *B3* | *NOP* |  | control | 1 | 2 | ```........``` | NOP | No operation |</v>
      </c>
    </row>
    <row r="234" spans="1:1" x14ac:dyDescent="0.2">
      <c r="A234" s="5" t="str">
        <f>"| "&amp;IF(OpCode!B182="",""&amp;OpCode!A182&amp;"","*"&amp;OpCode!A182&amp;"*")&amp;" | "&amp;IF(OpCode!B182="",""&amp;OpCode!C182&amp;"","*"&amp;OpCode!C182&amp;"*")&amp;" | "&amp;OpCode!D182&amp;" | "&amp;OpCode!E182&amp;" | "&amp;OpCode!G182&amp;" | "&amp;SUBSTITUTE(OpCode!H182,"|","/")&amp;" | ```"&amp;OpCode!I182&amp;"``` | "&amp;OpCode!J182&amp;" | "&amp;OpCode!K182&amp;" |"</f>
        <v>| B4 | LDY | dp,X | data | 2 | 4 | ```N.....Z.``` | LDY $10,X | MA &lt;- byte_2 + X; Y &lt;- (MA) |</v>
      </c>
    </row>
    <row r="235" spans="1:1" x14ac:dyDescent="0.2">
      <c r="A235" s="5" t="str">
        <f>"| "&amp;IF(OpCode!B183="",""&amp;OpCode!A183&amp;"","*"&amp;OpCode!A183&amp;"*")&amp;" | "&amp;IF(OpCode!B183="",""&amp;OpCode!C183&amp;"","*"&amp;OpCode!C183&amp;"*")&amp;" | "&amp;OpCode!D183&amp;" | "&amp;OpCode!E183&amp;" | "&amp;OpCode!G183&amp;" | "&amp;SUBSTITUTE(OpCode!H183,"|","/")&amp;" | ```"&amp;OpCode!I183&amp;"``` | "&amp;OpCode!J183&amp;" | "&amp;OpCode!K183&amp;" |"</f>
        <v>| B5 | LDA | dp,X | data | 2 | 4 | ```N.....Z.``` | LDA $10,X | MA &lt;- byte_2 + X; A &lt;- (MA) |</v>
      </c>
    </row>
    <row r="236" spans="1:1" x14ac:dyDescent="0.2">
      <c r="A236" s="5" t="str">
        <f>"| "&amp;IF(OpCode!B184="",""&amp;OpCode!A184&amp;"","*"&amp;OpCode!A184&amp;"*")&amp;" | "&amp;IF(OpCode!B184="",""&amp;OpCode!C184&amp;"","*"&amp;OpCode!C184&amp;"*")&amp;" | "&amp;OpCode!D184&amp;" | "&amp;OpCode!E184&amp;" | "&amp;OpCode!G184&amp;" | "&amp;SUBSTITUTE(OpCode!H184,"|","/")&amp;" | ```"&amp;OpCode!I184&amp;"``` | "&amp;OpCode!J184&amp;" | "&amp;OpCode!K184&amp;" |"</f>
        <v>| B6 | LDX | dp,Y | data | 2 | 4 | ```N.....Z.``` | LDX $10,Y | MA &lt;- byte_2 + Y; X &lt;- (MA) |</v>
      </c>
    </row>
    <row r="237" spans="1:1" x14ac:dyDescent="0.2">
      <c r="A237" s="5" t="str">
        <f>"| "&amp;IF(OpCode!B185="",""&amp;OpCode!A185&amp;"","*"&amp;OpCode!A185&amp;"*")&amp;" | "&amp;IF(OpCode!B185="",""&amp;OpCode!C185&amp;"","*"&amp;OpCode!C185&amp;"*")&amp;" | "&amp;OpCode!D185&amp;" | "&amp;OpCode!E185&amp;" | "&amp;OpCode!G185&amp;" | "&amp;SUBSTITUTE(OpCode!H185,"|","/")&amp;" | ```"&amp;OpCode!I185&amp;"``` | "&amp;OpCode!J185&amp;" | "&amp;OpCode!K185&amp;" |"</f>
        <v>| *B7* | *SMB3* | dp | logic | 2 | 5 | ```......Z.``` | SMB3 $10 | Set Memory Bit. Sets a specific bit of a byte held on zero page.  |</v>
      </c>
    </row>
    <row r="238" spans="1:1" x14ac:dyDescent="0.2">
      <c r="A238" s="5" t="str">
        <f>"| "&amp;IF(OpCode!B186="",""&amp;OpCode!A186&amp;"","*"&amp;OpCode!A186&amp;"*")&amp;" | "&amp;IF(OpCode!B186="",""&amp;OpCode!C186&amp;"","*"&amp;OpCode!C186&amp;"*")&amp;" | "&amp;OpCode!D186&amp;" | "&amp;OpCode!E186&amp;" | "&amp;OpCode!G186&amp;" | "&amp;SUBSTITUTE(OpCode!H186,"|","/")&amp;" | ```"&amp;OpCode!I186&amp;"``` | "&amp;OpCode!J186&amp;" | "&amp;OpCode!K186&amp;" |"</f>
        <v>| B8 | CLV |  | control | 1 | 2 | ```.0......``` | CLV | v &lt;- 0 |</v>
      </c>
    </row>
    <row r="239" spans="1:1" x14ac:dyDescent="0.2">
      <c r="A239" s="5" t="str">
        <f>"| "&amp;IF(OpCode!B187="",""&amp;OpCode!A187&amp;"","*"&amp;OpCode!A187&amp;"*")&amp;" | "&amp;IF(OpCode!B187="",""&amp;OpCode!C187&amp;"","*"&amp;OpCode!C187&amp;"*")&amp;" | "&amp;OpCode!D187&amp;" | "&amp;OpCode!E187&amp;" | "&amp;OpCode!G187&amp;" | "&amp;SUBSTITUTE(OpCode!H187,"|","/")&amp;" | ```"&amp;OpCode!I187&amp;"``` | "&amp;OpCode!J187&amp;" | "&amp;OpCode!K187&amp;" |"</f>
        <v>| B9 | LDA | abs,Y | data | 3 | 4 | ```N.....Z.``` | LDA $9876,Y | MA &lt;- byte_2 + 256 * byte_3 + Y; A &lt;- (MA)  |</v>
      </c>
    </row>
    <row r="240" spans="1:1" x14ac:dyDescent="0.2">
      <c r="A240" s="5" t="str">
        <f>"| "&amp;IF(OpCode!B188="",""&amp;OpCode!A188&amp;"","*"&amp;OpCode!A188&amp;"*")&amp;" | "&amp;IF(OpCode!B188="",""&amp;OpCode!C188&amp;"","*"&amp;OpCode!C188&amp;"*")&amp;" | "&amp;OpCode!D188&amp;" | "&amp;OpCode!E188&amp;" | "&amp;OpCode!G188&amp;" | "&amp;SUBSTITUTE(OpCode!H188,"|","/")&amp;" | ```"&amp;OpCode!I188&amp;"``` | "&amp;OpCode!J188&amp;" | "&amp;OpCode!K188&amp;" |"</f>
        <v>| BA | TSX |  | stack | 1 | 2 | ```N.....Z.``` | TSX | X &lt;- S |</v>
      </c>
    </row>
    <row r="241" spans="1:1" x14ac:dyDescent="0.2">
      <c r="A241" s="5" t="str">
        <f>"| "&amp;IF(OpCode!B189="",""&amp;OpCode!A189&amp;"","*"&amp;OpCode!A189&amp;"*")&amp;" | "&amp;IF(OpCode!B189="",""&amp;OpCode!C189&amp;"","*"&amp;OpCode!C189&amp;"*")&amp;" | "&amp;OpCode!D189&amp;" | "&amp;OpCode!E189&amp;" | "&amp;OpCode!G189&amp;" | "&amp;SUBSTITUTE(OpCode!H189,"|","/")&amp;" | ```"&amp;OpCode!I189&amp;"``` | "&amp;OpCode!J189&amp;" | "&amp;OpCode!K189&amp;" |"</f>
        <v>| *BB* | *NOP* |  | control | 1 | 2 | ```........``` | NOP | No operation |</v>
      </c>
    </row>
    <row r="242" spans="1:1" x14ac:dyDescent="0.2">
      <c r="A242" s="5" t="str">
        <f>"| "&amp;IF(OpCode!B190="",""&amp;OpCode!A190&amp;"","*"&amp;OpCode!A190&amp;"*")&amp;" | "&amp;IF(OpCode!B190="",""&amp;OpCode!C190&amp;"","*"&amp;OpCode!C190&amp;"*")&amp;" | "&amp;OpCode!D190&amp;" | "&amp;OpCode!E190&amp;" | "&amp;OpCode!G190&amp;" | "&amp;SUBSTITUTE(OpCode!H190,"|","/")&amp;" | ```"&amp;OpCode!I190&amp;"``` | "&amp;OpCode!J190&amp;" | "&amp;OpCode!K190&amp;" |"</f>
        <v>| BC | LDY | abs,X | data | 3 | 4 | ```N.....Z.``` | LDY $9876,X | MA &lt;- byte_2 + 256 * byte_3 + X; Y &lt;- (MA)  |</v>
      </c>
    </row>
    <row r="243" spans="1:1" x14ac:dyDescent="0.2">
      <c r="A243" s="5" t="str">
        <f>"| "&amp;IF(OpCode!B191="",""&amp;OpCode!A191&amp;"","*"&amp;OpCode!A191&amp;"*")&amp;" | "&amp;IF(OpCode!B191="",""&amp;OpCode!C191&amp;"","*"&amp;OpCode!C191&amp;"*")&amp;" | "&amp;OpCode!D191&amp;" | "&amp;OpCode!E191&amp;" | "&amp;OpCode!G191&amp;" | "&amp;SUBSTITUTE(OpCode!H191,"|","/")&amp;" | ```"&amp;OpCode!I191&amp;"``` | "&amp;OpCode!J191&amp;" | "&amp;OpCode!K191&amp;" |"</f>
        <v>| BD | LDA | abs,X | data | 3 | 4 | ```N.....Z.``` | LDA $9876,X | MA &lt;- byte_2 + 256 * byte_3 + X; A &lt;- (MA)  |</v>
      </c>
    </row>
    <row r="244" spans="1:1" x14ac:dyDescent="0.2">
      <c r="A244" s="5" t="str">
        <f>"| "&amp;IF(OpCode!B192="",""&amp;OpCode!A192&amp;"","*"&amp;OpCode!A192&amp;"*")&amp;" | "&amp;IF(OpCode!B192="",""&amp;OpCode!C192&amp;"","*"&amp;OpCode!C192&amp;"*")&amp;" | "&amp;OpCode!D192&amp;" | "&amp;OpCode!E192&amp;" | "&amp;OpCode!G192&amp;" | "&amp;SUBSTITUTE(OpCode!H192,"|","/")&amp;" | ```"&amp;OpCode!I192&amp;"``` | "&amp;OpCode!J192&amp;" | "&amp;OpCode!K192&amp;" |"</f>
        <v>| BE | LDX | abs,Y | data | 3 | 4 | ```N.....Z.``` | LDX $9876,Y | MA &lt;- byte_2 + 256 * byte_3 + Y; X &lt;- (MA)  |</v>
      </c>
    </row>
    <row r="245" spans="1:1" x14ac:dyDescent="0.2">
      <c r="A245" s="5" t="str">
        <f>"| "&amp;IF(OpCode!B193="",""&amp;OpCode!A193&amp;"","*"&amp;OpCode!A193&amp;"*")&amp;" | "&amp;IF(OpCode!B193="",""&amp;OpCode!C193&amp;"","*"&amp;OpCode!C193&amp;"*")&amp;" | "&amp;OpCode!D193&amp;" | "&amp;OpCode!E193&amp;" | "&amp;OpCode!G193&amp;" | "&amp;SUBSTITUTE(OpCode!H193,"|","/")&amp;" | ```"&amp;OpCode!I193&amp;"``` | "&amp;OpCode!J193&amp;" | "&amp;OpCode!K193&amp;" |"</f>
        <v>| *BF* | *BBS3* | dp,rel8 | branch | 3 | 2/3 | ```........``` | BBS3 $10,LABEL | Branch on Bit Set. Tests a specific bit of a byte held on zero page and causes a branch of the bit is set (1) |</v>
      </c>
    </row>
    <row r="246" spans="1:1" x14ac:dyDescent="0.2">
      <c r="A246" s="5" t="str">
        <f>"| "&amp;IF(OpCode!B194="",""&amp;OpCode!A194&amp;"","*"&amp;OpCode!A194&amp;"*")&amp;" | "&amp;IF(OpCode!B194="",""&amp;OpCode!C194&amp;"","*"&amp;OpCode!C194&amp;"*")&amp;" | "&amp;OpCode!D194&amp;" | "&amp;OpCode!E194&amp;" | "&amp;OpCode!G194&amp;" | "&amp;SUBSTITUTE(OpCode!H194,"|","/")&amp;" | ```"&amp;OpCode!I194&amp;"``` | "&amp;OpCode!J194&amp;" | "&amp;OpCode!K194&amp;" |"</f>
        <v>| C0 | CPY | imm | arith | 2 | 2 | ```N.....ZC``` | CPY #$54 | t &lt;- Y - byte_2 |</v>
      </c>
    </row>
    <row r="247" spans="1:1" x14ac:dyDescent="0.2">
      <c r="A247" s="5" t="str">
        <f>"| "&amp;IF(OpCode!B195="",""&amp;OpCode!A195&amp;"","*"&amp;OpCode!A195&amp;"*")&amp;" | "&amp;IF(OpCode!B195="",""&amp;OpCode!C195&amp;"","*"&amp;OpCode!C195&amp;"*")&amp;" | "&amp;OpCode!D195&amp;" | "&amp;OpCode!E195&amp;" | "&amp;OpCode!G195&amp;" | "&amp;SUBSTITUTE(OpCode!H195,"|","/")&amp;" | ```"&amp;OpCode!I195&amp;"``` | "&amp;OpCode!J195&amp;" | "&amp;OpCode!K195&amp;" |"</f>
        <v>| C1 | CMP | (dp,X) | arith | 2 | 6 | ```N.....ZC``` | CMP ($10,X) | MA &lt;- byte_2 + X; MA &lt;- (MA); MV &lt;- (MA); t &lt;- A - MV  |</v>
      </c>
    </row>
    <row r="248" spans="1:1" x14ac:dyDescent="0.2">
      <c r="A248" s="5" t="str">
        <f>"| "&amp;IF(OpCode!B196="",""&amp;OpCode!A196&amp;"","*"&amp;OpCode!A196&amp;"*")&amp;" | "&amp;IF(OpCode!B196="",""&amp;OpCode!C196&amp;"","*"&amp;OpCode!C196&amp;"*")&amp;" | "&amp;OpCode!D196&amp;" | "&amp;OpCode!E196&amp;" | "&amp;OpCode!G196&amp;" | "&amp;SUBSTITUTE(OpCode!H196,"|","/")&amp;" | ```"&amp;OpCode!I196&amp;"``` | "&amp;OpCode!J196&amp;" | "&amp;OpCode!K196&amp;" |"</f>
        <v>| *C2* | *NOP* |  | control | 1 | 2 | ```........``` | NOP | No operation |</v>
      </c>
    </row>
    <row r="249" spans="1:1" x14ac:dyDescent="0.2">
      <c r="A249" s="5" t="str">
        <f>"| "&amp;IF(OpCode!B197="",""&amp;OpCode!A197&amp;"","*"&amp;OpCode!A197&amp;"*")&amp;" | "&amp;IF(OpCode!B197="",""&amp;OpCode!C197&amp;"","*"&amp;OpCode!C197&amp;"*")&amp;" | "&amp;OpCode!D197&amp;" | "&amp;OpCode!E197&amp;" | "&amp;OpCode!G197&amp;" | "&amp;SUBSTITUTE(OpCode!H197,"|","/")&amp;" | ```"&amp;OpCode!I197&amp;"``` | "&amp;OpCode!J197&amp;" | "&amp;OpCode!K197&amp;" |"</f>
        <v>| *C3* | *NOP* |  | control | 1 | 2 | ```........``` | NOP | No operation |</v>
      </c>
    </row>
    <row r="250" spans="1:1" x14ac:dyDescent="0.2">
      <c r="A250" s="5" t="str">
        <f>"| "&amp;IF(OpCode!B198="",""&amp;OpCode!A198&amp;"","*"&amp;OpCode!A198&amp;"*")&amp;" | "&amp;IF(OpCode!B198="",""&amp;OpCode!C198&amp;"","*"&amp;OpCode!C198&amp;"*")&amp;" | "&amp;OpCode!D198&amp;" | "&amp;OpCode!E198&amp;" | "&amp;OpCode!G198&amp;" | "&amp;SUBSTITUTE(OpCode!H198,"|","/")&amp;" | ```"&amp;OpCode!I198&amp;"``` | "&amp;OpCode!J198&amp;" | "&amp;OpCode!K198&amp;" |"</f>
        <v>| C4 | CPY | dp | arith | 3 | 2 | ```N.....ZC``` | CPY $10 | MA &lt;- byte_2; MV &lt;- (MA); t &lt;- Y - MV |</v>
      </c>
    </row>
    <row r="251" spans="1:1" x14ac:dyDescent="0.2">
      <c r="A251" s="5" t="str">
        <f>"| "&amp;IF(OpCode!B199="",""&amp;OpCode!A199&amp;"","*"&amp;OpCode!A199&amp;"*")&amp;" | "&amp;IF(OpCode!B199="",""&amp;OpCode!C199&amp;"","*"&amp;OpCode!C199&amp;"*")&amp;" | "&amp;OpCode!D199&amp;" | "&amp;OpCode!E199&amp;" | "&amp;OpCode!G199&amp;" | "&amp;SUBSTITUTE(OpCode!H199,"|","/")&amp;" | ```"&amp;OpCode!I199&amp;"``` | "&amp;OpCode!J199&amp;" | "&amp;OpCode!K199&amp;" |"</f>
        <v>| C5 | CMP | dp | arith | 2 | 3 | ```N.....ZC``` | CMP $10 | MA &lt;- byte_2; MV &lt;- (MA); t &lt;- A - MV  |</v>
      </c>
    </row>
    <row r="252" spans="1:1" x14ac:dyDescent="0.2">
      <c r="A252" s="5" t="str">
        <f>"| "&amp;IF(OpCode!B200="",""&amp;OpCode!A200&amp;"","*"&amp;OpCode!A200&amp;"*")&amp;" | "&amp;IF(OpCode!B200="",""&amp;OpCode!C200&amp;"","*"&amp;OpCode!C200&amp;"*")&amp;" | "&amp;OpCode!D200&amp;" | "&amp;OpCode!E200&amp;" | "&amp;OpCode!G200&amp;" | "&amp;SUBSTITUTE(OpCode!H200,"|","/")&amp;" | ```"&amp;OpCode!I200&amp;"``` | "&amp;OpCode!J200&amp;" | "&amp;OpCode!K200&amp;" |"</f>
        <v>| C6 | DEC | dp | arith | 2 | 5 | ```N.....Z.``` | DEC $10 | MA &lt;- byte_2; MV &lt;- (MA); t &lt;- MV - 1; (MA) &lt;- t |</v>
      </c>
    </row>
    <row r="253" spans="1:1" x14ac:dyDescent="0.2">
      <c r="A253" s="5" t="str">
        <f>"| "&amp;IF(OpCode!B201="",""&amp;OpCode!A201&amp;"","*"&amp;OpCode!A201&amp;"*")&amp;" | "&amp;IF(OpCode!B201="",""&amp;OpCode!C201&amp;"","*"&amp;OpCode!C201&amp;"*")&amp;" | "&amp;OpCode!D201&amp;" | "&amp;OpCode!E201&amp;" | "&amp;OpCode!G201&amp;" | "&amp;SUBSTITUTE(OpCode!H201,"|","/")&amp;" | ```"&amp;OpCode!I201&amp;"``` | "&amp;OpCode!J201&amp;" | "&amp;OpCode!K201&amp;" |"</f>
        <v>| *C7* | *SMB4* | dp | logic | 2 | 5 | ```......Z.``` | SMB4 $10 | Set Memory Bit. Sets a specific bit of a byte held on zero page.  |</v>
      </c>
    </row>
    <row r="254" spans="1:1" x14ac:dyDescent="0.2">
      <c r="A254" s="5" t="str">
        <f>"| "&amp;IF(OpCode!B202="",""&amp;OpCode!A202&amp;"","*"&amp;OpCode!A202&amp;"*")&amp;" | "&amp;IF(OpCode!B202="",""&amp;OpCode!C202&amp;"","*"&amp;OpCode!C202&amp;"*")&amp;" | "&amp;OpCode!D202&amp;" | "&amp;OpCode!E202&amp;" | "&amp;OpCode!G202&amp;" | "&amp;SUBSTITUTE(OpCode!H202,"|","/")&amp;" | ```"&amp;OpCode!I202&amp;"``` | "&amp;OpCode!J202&amp;" | "&amp;OpCode!K202&amp;" |"</f>
        <v>| C8 | INY |  | arith | 1 | 2 | ```N.....Z.``` | INY | t &lt;- Y + 1; Y &lt;- t |</v>
      </c>
    </row>
    <row r="255" spans="1:1" x14ac:dyDescent="0.2">
      <c r="A255" s="5" t="str">
        <f>"| "&amp;IF(OpCode!B203="",""&amp;OpCode!A203&amp;"","*"&amp;OpCode!A203&amp;"*")&amp;" | "&amp;IF(OpCode!B203="",""&amp;OpCode!C203&amp;"","*"&amp;OpCode!C203&amp;"*")&amp;" | "&amp;OpCode!D203&amp;" | "&amp;OpCode!E203&amp;" | "&amp;OpCode!G203&amp;" | "&amp;SUBSTITUTE(OpCode!H203,"|","/")&amp;" | ```"&amp;OpCode!I203&amp;"``` | "&amp;OpCode!J203&amp;" | "&amp;OpCode!K203&amp;" |"</f>
        <v>| C9 | CMP | imm | arith | 2 | 2 | ```N.....ZC``` | CMP #$54 | t &lt;- A - byte_2 |</v>
      </c>
    </row>
    <row r="256" spans="1:1" x14ac:dyDescent="0.2">
      <c r="A256" s="5" t="str">
        <f>"| "&amp;IF(OpCode!B204="",""&amp;OpCode!A204&amp;"","*"&amp;OpCode!A204&amp;"*")&amp;" | "&amp;IF(OpCode!B204="",""&amp;OpCode!C204&amp;"","*"&amp;OpCode!C204&amp;"*")&amp;" | "&amp;OpCode!D204&amp;" | "&amp;OpCode!E204&amp;" | "&amp;OpCode!G204&amp;" | "&amp;SUBSTITUTE(OpCode!H204,"|","/")&amp;" | ```"&amp;OpCode!I204&amp;"``` | "&amp;OpCode!J204&amp;" | "&amp;OpCode!K204&amp;" |"</f>
        <v>| CA | DEX |  | arith | 1 | 2 | ```N.....Z.``` | DEX | t &lt;- X - 1; X &lt;- t |</v>
      </c>
    </row>
    <row r="257" spans="1:1" x14ac:dyDescent="0.2">
      <c r="A257" s="5" t="str">
        <f>"| "&amp;IF(OpCode!B205="",""&amp;OpCode!A205&amp;"","*"&amp;OpCode!A205&amp;"*")&amp;" | "&amp;IF(OpCode!B205="",""&amp;OpCode!C205&amp;"","*"&amp;OpCode!C205&amp;"*")&amp;" | "&amp;OpCode!D205&amp;" | "&amp;OpCode!E205&amp;" | "&amp;OpCode!G205&amp;" | "&amp;SUBSTITUTE(OpCode!H205,"|","/")&amp;" | ```"&amp;OpCode!I205&amp;"``` | "&amp;OpCode!J205&amp;" | "&amp;OpCode!K205&amp;" |"</f>
        <v>| CB | WAI |  | control | 1 | 3 | ```........``` | WAI | Stop Processor until Interrupt |</v>
      </c>
    </row>
    <row r="258" spans="1:1" x14ac:dyDescent="0.2">
      <c r="A258" s="5" t="str">
        <f>"| "&amp;IF(OpCode!B206="",""&amp;OpCode!A206&amp;"","*"&amp;OpCode!A206&amp;"*")&amp;" | "&amp;IF(OpCode!B206="",""&amp;OpCode!C206&amp;"","*"&amp;OpCode!C206&amp;"*")&amp;" | "&amp;OpCode!D206&amp;" | "&amp;OpCode!E206&amp;" | "&amp;OpCode!G206&amp;" | "&amp;SUBSTITUTE(OpCode!H206,"|","/")&amp;" | ```"&amp;OpCode!I206&amp;"``` | "&amp;OpCode!J206&amp;" | "&amp;OpCode!K206&amp;" |"</f>
        <v>| CC | CPY | abs | arith | 3 | 4 | ```N.....ZC``` | CPY $9876 | MA &lt;- byte_2 + 256 * byte_3; MV &lt;- (MA); t &lt;- Y - MV |</v>
      </c>
    </row>
    <row r="259" spans="1:1" x14ac:dyDescent="0.2">
      <c r="A259" s="5" t="str">
        <f>"| "&amp;IF(OpCode!B207="",""&amp;OpCode!A207&amp;"","*"&amp;OpCode!A207&amp;"*")&amp;" | "&amp;IF(OpCode!B207="",""&amp;OpCode!C207&amp;"","*"&amp;OpCode!C207&amp;"*")&amp;" | "&amp;OpCode!D207&amp;" | "&amp;OpCode!E207&amp;" | "&amp;OpCode!G207&amp;" | "&amp;SUBSTITUTE(OpCode!H207,"|","/")&amp;" | ```"&amp;OpCode!I207&amp;"``` | "&amp;OpCode!J207&amp;" | "&amp;OpCode!K207&amp;" |"</f>
        <v>| CD | CMP | abs | arith | 3 | 4 | ```N.....ZC``` | CMP $9876 | MA &lt;- byte_2 + 256 * byte_3; MV &lt;- (MA); t &lt;- A - MV   |</v>
      </c>
    </row>
    <row r="260" spans="1:1" x14ac:dyDescent="0.2">
      <c r="A260" s="5" t="str">
        <f>"| "&amp;IF(OpCode!B208="",""&amp;OpCode!A208&amp;"","*"&amp;OpCode!A208&amp;"*")&amp;" | "&amp;IF(OpCode!B208="",""&amp;OpCode!C208&amp;"","*"&amp;OpCode!C208&amp;"*")&amp;" | "&amp;OpCode!D208&amp;" | "&amp;OpCode!E208&amp;" | "&amp;OpCode!G208&amp;" | "&amp;SUBSTITUTE(OpCode!H208,"|","/")&amp;" | ```"&amp;OpCode!I208&amp;"``` | "&amp;OpCode!J208&amp;" | "&amp;OpCode!K208&amp;" |"</f>
        <v>| CE | DEC | abs | arith | 3 | 6 | ```N.....Z.``` | DEC $9876 | MA &lt;- byte_2 + 256 * byte_3; MV &lt;- (MA); t &lt;- MV - 1; (MA) &lt;- t |</v>
      </c>
    </row>
    <row r="261" spans="1:1" x14ac:dyDescent="0.2">
      <c r="A261" s="5" t="str">
        <f>"| "&amp;IF(OpCode!B209="",""&amp;OpCode!A209&amp;"","*"&amp;OpCode!A209&amp;"*")&amp;" | "&amp;IF(OpCode!B209="",""&amp;OpCode!C209&amp;"","*"&amp;OpCode!C209&amp;"*")&amp;" | "&amp;OpCode!D209&amp;" | "&amp;OpCode!E209&amp;" | "&amp;OpCode!G209&amp;" | "&amp;SUBSTITUTE(OpCode!H209,"|","/")&amp;" | ```"&amp;OpCode!I209&amp;"``` | "&amp;OpCode!J209&amp;" | "&amp;OpCode!K209&amp;" |"</f>
        <v>| *CF* | *BBS4* | dp,rel8 | branch | 3 | 2/3 | ```........``` | BBS4 $10,LABEL | Branch on Bit Set. Tests a specific bit of a byte held on zero page and causes a branch of the bit is set (1) |</v>
      </c>
    </row>
    <row r="262" spans="1:1" x14ac:dyDescent="0.2">
      <c r="A262" s="5" t="str">
        <f>"| "&amp;IF(OpCode!B210="",""&amp;OpCode!A210&amp;"","*"&amp;OpCode!A210&amp;"*")&amp;" | "&amp;IF(OpCode!B210="",""&amp;OpCode!C210&amp;"","*"&amp;OpCode!C210&amp;"*")&amp;" | "&amp;OpCode!D210&amp;" | "&amp;OpCode!E210&amp;" | "&amp;OpCode!G210&amp;" | "&amp;SUBSTITUTE(OpCode!H210,"|","/")&amp;" | ```"&amp;OpCode!I210&amp;"``` | "&amp;OpCode!J210&amp;" | "&amp;OpCode!K210&amp;" |"</f>
        <v>| D0 | BNE | rel8 | branch | 2 | 2/3 | ```........``` | BNE LABEL | if !Z , PC &lt;- PC + byte_2 |</v>
      </c>
    </row>
    <row r="263" spans="1:1" x14ac:dyDescent="0.2">
      <c r="A263" s="5" t="str">
        <f>"| "&amp;IF(OpCode!B211="",""&amp;OpCode!A211&amp;"","*"&amp;OpCode!A211&amp;"*")&amp;" | "&amp;IF(OpCode!B211="",""&amp;OpCode!C211&amp;"","*"&amp;OpCode!C211&amp;"*")&amp;" | "&amp;OpCode!D211&amp;" | "&amp;OpCode!E211&amp;" | "&amp;OpCode!G211&amp;" | "&amp;SUBSTITUTE(OpCode!H211,"|","/")&amp;" | ```"&amp;OpCode!I211&amp;"``` | "&amp;OpCode!J211&amp;" | "&amp;OpCode!K211&amp;" |"</f>
        <v>| D1 | CMP | (dp),Y | arith | 2 | 5 | ```N.....ZC``` | CMP ($10),Y | MA &lt;- byte_2; MA &lt;- (MA) + Y; MV &lt;- (MA); t &lt;- A - MV |</v>
      </c>
    </row>
    <row r="264" spans="1:1" x14ac:dyDescent="0.2">
      <c r="A264" s="5" t="str">
        <f>"| "&amp;IF(OpCode!B212="",""&amp;OpCode!A212&amp;"","*"&amp;OpCode!A212&amp;"*")&amp;" | "&amp;IF(OpCode!B212="",""&amp;OpCode!C212&amp;"","*"&amp;OpCode!C212&amp;"*")&amp;" | "&amp;OpCode!D212&amp;" | "&amp;OpCode!E212&amp;" | "&amp;OpCode!G212&amp;" | "&amp;SUBSTITUTE(OpCode!H212,"|","/")&amp;" | ```"&amp;OpCode!I212&amp;"``` | "&amp;OpCode!J212&amp;" | "&amp;OpCode!K212&amp;" |"</f>
        <v>| D2 | CMP | (dp) | arith | 2 | 5 | ```N.....ZC``` | CMP ($10) | MA &lt;- byte_2; MA &lt;- (MA); MV &lt;- (MA); t &lt;- A - MV |</v>
      </c>
    </row>
    <row r="265" spans="1:1" x14ac:dyDescent="0.2">
      <c r="A265" s="5" t="str">
        <f>"| "&amp;IF(OpCode!B213="",""&amp;OpCode!A213&amp;"","*"&amp;OpCode!A213&amp;"*")&amp;" | "&amp;IF(OpCode!B213="",""&amp;OpCode!C213&amp;"","*"&amp;OpCode!C213&amp;"*")&amp;" | "&amp;OpCode!D213&amp;" | "&amp;OpCode!E213&amp;" | "&amp;OpCode!G213&amp;" | "&amp;SUBSTITUTE(OpCode!H213,"|","/")&amp;" | ```"&amp;OpCode!I213&amp;"``` | "&amp;OpCode!J213&amp;" | "&amp;OpCode!K213&amp;" |"</f>
        <v>| *D3* | *NOP* |  | control | 1 | 2 | ```........``` | NOP | No operation |</v>
      </c>
    </row>
    <row r="266" spans="1:1" x14ac:dyDescent="0.2">
      <c r="A266" s="5" t="str">
        <f>"| "&amp;IF(OpCode!B214="",""&amp;OpCode!A214&amp;"","*"&amp;OpCode!A214&amp;"*")&amp;" | "&amp;IF(OpCode!B214="",""&amp;OpCode!C214&amp;"","*"&amp;OpCode!C214&amp;"*")&amp;" | "&amp;OpCode!D214&amp;" | "&amp;OpCode!E214&amp;" | "&amp;OpCode!G214&amp;" | "&amp;SUBSTITUTE(OpCode!H214,"|","/")&amp;" | ```"&amp;OpCode!I214&amp;"``` | "&amp;OpCode!J214&amp;" | "&amp;OpCode!K214&amp;" |"</f>
        <v>| *D4* | *NOP* |  | control | 1 | 2 | ```........``` | NOP | No operation |</v>
      </c>
    </row>
    <row r="267" spans="1:1" x14ac:dyDescent="0.2">
      <c r="A267" s="5" t="str">
        <f>"| "&amp;IF(OpCode!B215="",""&amp;OpCode!A215&amp;"","*"&amp;OpCode!A215&amp;"*")&amp;" | "&amp;IF(OpCode!B215="",""&amp;OpCode!C215&amp;"","*"&amp;OpCode!C215&amp;"*")&amp;" | "&amp;OpCode!D215&amp;" | "&amp;OpCode!E215&amp;" | "&amp;OpCode!G215&amp;" | "&amp;SUBSTITUTE(OpCode!H215,"|","/")&amp;" | ```"&amp;OpCode!I215&amp;"``` | "&amp;OpCode!J215&amp;" | "&amp;OpCode!K215&amp;" |"</f>
        <v>| D5 | CMP | dp,X | arith | 2 | 4 | ```N.....ZC``` | CMP $10,X | MA &lt;- byte_2 + X; MV &lt;- (MA); t &lt;- A - MV  |</v>
      </c>
    </row>
    <row r="268" spans="1:1" x14ac:dyDescent="0.2">
      <c r="A268" s="5" t="str">
        <f>"| "&amp;IF(OpCode!B216="",""&amp;OpCode!A216&amp;"","*"&amp;OpCode!A216&amp;"*")&amp;" | "&amp;IF(OpCode!B216="",""&amp;OpCode!C216&amp;"","*"&amp;OpCode!C216&amp;"*")&amp;" | "&amp;OpCode!D216&amp;" | "&amp;OpCode!E216&amp;" | "&amp;OpCode!G216&amp;" | "&amp;SUBSTITUTE(OpCode!H216,"|","/")&amp;" | ```"&amp;OpCode!I216&amp;"``` | "&amp;OpCode!J216&amp;" | "&amp;OpCode!K216&amp;" |"</f>
        <v>| D6 | DEC | dp,X | arith | 2 | 6 | ```N.....Z.``` | DEC $10,X | MA &lt;- byte_2 + X; MV &lt;- (MA); t &lt;- MV - 1; (MA) &lt;- t |</v>
      </c>
    </row>
    <row r="269" spans="1:1" x14ac:dyDescent="0.2">
      <c r="A269" s="5" t="str">
        <f>"| "&amp;IF(OpCode!B217="",""&amp;OpCode!A217&amp;"","*"&amp;OpCode!A217&amp;"*")&amp;" | "&amp;IF(OpCode!B217="",""&amp;OpCode!C217&amp;"","*"&amp;OpCode!C217&amp;"*")&amp;" | "&amp;OpCode!D217&amp;" | "&amp;OpCode!E217&amp;" | "&amp;OpCode!G217&amp;" | "&amp;SUBSTITUTE(OpCode!H217,"|","/")&amp;" | ```"&amp;OpCode!I217&amp;"``` | "&amp;OpCode!J217&amp;" | "&amp;OpCode!K217&amp;" |"</f>
        <v>| *D7* | *SMB5* | dp | logic | 2 | 5 | ```......Z.``` | SMB5 $10 | Set Memory Bit. Sets a specific bit of a byte held on zero page.  |</v>
      </c>
    </row>
    <row r="270" spans="1:1" x14ac:dyDescent="0.2">
      <c r="A270" s="5" t="str">
        <f>"| "&amp;IF(OpCode!B218="",""&amp;OpCode!A218&amp;"","*"&amp;OpCode!A218&amp;"*")&amp;" | "&amp;IF(OpCode!B218="",""&amp;OpCode!C218&amp;"","*"&amp;OpCode!C218&amp;"*")&amp;" | "&amp;OpCode!D218&amp;" | "&amp;OpCode!E218&amp;" | "&amp;OpCode!G218&amp;" | "&amp;SUBSTITUTE(OpCode!H218,"|","/")&amp;" | ```"&amp;OpCode!I218&amp;"``` | "&amp;OpCode!J218&amp;" | "&amp;OpCode!K218&amp;" |"</f>
        <v>| D8 | CLD |  | control | 1 | 2 | ```....0...``` | CLD | d &lt;- 1 |</v>
      </c>
    </row>
    <row r="271" spans="1:1" x14ac:dyDescent="0.2">
      <c r="A271" s="5" t="str">
        <f>"| "&amp;IF(OpCode!B219="",""&amp;OpCode!A219&amp;"","*"&amp;OpCode!A219&amp;"*")&amp;" | "&amp;IF(OpCode!B219="",""&amp;OpCode!C219&amp;"","*"&amp;OpCode!C219&amp;"*")&amp;" | "&amp;OpCode!D219&amp;" | "&amp;OpCode!E219&amp;" | "&amp;OpCode!G219&amp;" | "&amp;SUBSTITUTE(OpCode!H219,"|","/")&amp;" | ```"&amp;OpCode!I219&amp;"``` | "&amp;OpCode!J219&amp;" | "&amp;OpCode!K219&amp;" |"</f>
        <v>| D9 | CMP | abs,Y | arith | 3 | 4 | ```N.....ZC``` | CMP $9876,Y | MA &lt;- byte_2 + 256 * byte_3 + Y; MV &lt;- (MA); t &lt;- A - MV  |</v>
      </c>
    </row>
    <row r="272" spans="1:1" x14ac:dyDescent="0.2">
      <c r="A272" s="5" t="str">
        <f>"| "&amp;IF(OpCode!B220="",""&amp;OpCode!A220&amp;"","*"&amp;OpCode!A220&amp;"*")&amp;" | "&amp;IF(OpCode!B220="",""&amp;OpCode!C220&amp;"","*"&amp;OpCode!C220&amp;"*")&amp;" | "&amp;OpCode!D220&amp;" | "&amp;OpCode!E220&amp;" | "&amp;OpCode!G220&amp;" | "&amp;SUBSTITUTE(OpCode!H220,"|","/")&amp;" | ```"&amp;OpCode!I220&amp;"``` | "&amp;OpCode!J220&amp;" | "&amp;OpCode!K220&amp;" |"</f>
        <v>| DA | PHX |  | stack | 1 | 3 | ```........``` | PHX | (SP) &lt;- X |</v>
      </c>
    </row>
    <row r="273" spans="1:1" x14ac:dyDescent="0.2">
      <c r="A273" s="5" t="str">
        <f>"| "&amp;IF(OpCode!B221="",""&amp;OpCode!A221&amp;"","*"&amp;OpCode!A221&amp;"*")&amp;" | "&amp;IF(OpCode!B221="",""&amp;OpCode!C221&amp;"","*"&amp;OpCode!C221&amp;"*")&amp;" | "&amp;OpCode!D221&amp;" | "&amp;OpCode!E221&amp;" | "&amp;OpCode!G221&amp;" | "&amp;SUBSTITUTE(OpCode!H221,"|","/")&amp;" | ```"&amp;OpCode!I221&amp;"``` | "&amp;OpCode!J221&amp;" | "&amp;OpCode!K221&amp;" |"</f>
        <v>| DB | STP |  | control | 1 | 3 | ```........``` | STP | Stop Processor |</v>
      </c>
    </row>
    <row r="274" spans="1:1" x14ac:dyDescent="0.2">
      <c r="A274" s="5" t="str">
        <f>"| "&amp;IF(OpCode!B222="",""&amp;OpCode!A222&amp;"","*"&amp;OpCode!A222&amp;"*")&amp;" | "&amp;IF(OpCode!B222="",""&amp;OpCode!C222&amp;"","*"&amp;OpCode!C222&amp;"*")&amp;" | "&amp;OpCode!D222&amp;" | "&amp;OpCode!E222&amp;" | "&amp;OpCode!G222&amp;" | "&amp;SUBSTITUTE(OpCode!H222,"|","/")&amp;" | ```"&amp;OpCode!I222&amp;"``` | "&amp;OpCode!J222&amp;" | "&amp;OpCode!K222&amp;" |"</f>
        <v>| *DC* | *NOP* |  | control | 1 | 2 | ```........``` | NOP | No operation |</v>
      </c>
    </row>
    <row r="275" spans="1:1" x14ac:dyDescent="0.2">
      <c r="A275" s="5" t="str">
        <f>"| "&amp;IF(OpCode!B223="",""&amp;OpCode!A223&amp;"","*"&amp;OpCode!A223&amp;"*")&amp;" | "&amp;IF(OpCode!B223="",""&amp;OpCode!C223&amp;"","*"&amp;OpCode!C223&amp;"*")&amp;" | "&amp;OpCode!D223&amp;" | "&amp;OpCode!E223&amp;" | "&amp;OpCode!G223&amp;" | "&amp;SUBSTITUTE(OpCode!H223,"|","/")&amp;" | ```"&amp;OpCode!I223&amp;"``` | "&amp;OpCode!J223&amp;" | "&amp;OpCode!K223&amp;" |"</f>
        <v>| DD | CMP | abs,X | arith | 3 | 4 | ```N.....ZC``` | CMP $9876,X | MA &lt;- byte_2 + 256 * byte_3 + X; MV &lt;- (MA); t &lt;- A - MV  |</v>
      </c>
    </row>
    <row r="276" spans="1:1" x14ac:dyDescent="0.2">
      <c r="A276" s="5" t="str">
        <f>"| "&amp;IF(OpCode!B224="",""&amp;OpCode!A224&amp;"","*"&amp;OpCode!A224&amp;"*")&amp;" | "&amp;IF(OpCode!B224="",""&amp;OpCode!C224&amp;"","*"&amp;OpCode!C224&amp;"*")&amp;" | "&amp;OpCode!D224&amp;" | "&amp;OpCode!E224&amp;" | "&amp;OpCode!G224&amp;" | "&amp;SUBSTITUTE(OpCode!H224,"|","/")&amp;" | ```"&amp;OpCode!I224&amp;"``` | "&amp;OpCode!J224&amp;" | "&amp;OpCode!K224&amp;" |"</f>
        <v>| DE | DEC | abs,X | arith | 3 | 7 | ```N.....Z.``` | DEC $9876,X | MA &lt;- byte_2 + 256 * byte_3 + X; MV &lt;- (MA); t &lt;- MV - 1; (MA) &lt;- t |</v>
      </c>
    </row>
    <row r="277" spans="1:1" x14ac:dyDescent="0.2">
      <c r="A277" s="5" t="str">
        <f>"| "&amp;IF(OpCode!B225="",""&amp;OpCode!A225&amp;"","*"&amp;OpCode!A225&amp;"*")&amp;" | "&amp;IF(OpCode!B225="",""&amp;OpCode!C225&amp;"","*"&amp;OpCode!C225&amp;"*")&amp;" | "&amp;OpCode!D225&amp;" | "&amp;OpCode!E225&amp;" | "&amp;OpCode!G225&amp;" | "&amp;SUBSTITUTE(OpCode!H225,"|","/")&amp;" | ```"&amp;OpCode!I225&amp;"``` | "&amp;OpCode!J225&amp;" | "&amp;OpCode!K225&amp;" |"</f>
        <v>| *DF* | *BBS5* | dp,rel8 | branch | 3 | 2/3 | ```........``` | BBS5 $10,LABEL | Branch on Bit Set. Tests a specific bit of a byte held on zero page and causes a branch of the bit is set (1) |</v>
      </c>
    </row>
    <row r="278" spans="1:1" x14ac:dyDescent="0.2">
      <c r="A278" s="5" t="str">
        <f>"| "&amp;IF(OpCode!B226="",""&amp;OpCode!A226&amp;"","*"&amp;OpCode!A226&amp;"*")&amp;" | "&amp;IF(OpCode!B226="",""&amp;OpCode!C226&amp;"","*"&amp;OpCode!C226&amp;"*")&amp;" | "&amp;OpCode!D226&amp;" | "&amp;OpCode!E226&amp;" | "&amp;OpCode!G226&amp;" | "&amp;SUBSTITUTE(OpCode!H226,"|","/")&amp;" | ```"&amp;OpCode!I226&amp;"``` | "&amp;OpCode!J226&amp;" | "&amp;OpCode!K226&amp;" |"</f>
        <v>| E0 | CPX | imm | arith | 2 | 2 | ```N.....ZC``` | CPX #$54 | t &lt;- X - byte_2 |</v>
      </c>
    </row>
    <row r="279" spans="1:1" x14ac:dyDescent="0.2">
      <c r="A279" s="5" t="str">
        <f>"| "&amp;IF(OpCode!B227="",""&amp;OpCode!A227&amp;"","*"&amp;OpCode!A227&amp;"*")&amp;" | "&amp;IF(OpCode!B227="",""&amp;OpCode!C227&amp;"","*"&amp;OpCode!C227&amp;"*")&amp;" | "&amp;OpCode!D227&amp;" | "&amp;OpCode!E227&amp;" | "&amp;OpCode!G227&amp;" | "&amp;SUBSTITUTE(OpCode!H227,"|","/")&amp;" | ```"&amp;OpCode!I227&amp;"``` | "&amp;OpCode!J227&amp;" | "&amp;OpCode!K227&amp;" |"</f>
        <v>| E1 | SBC | (dp,X) | arith | 2 | 6 | ```NV....ZC``` | SBC ($10,X) | MA &lt;- byte_2 + X; MA &lt;- (MA); MV &lt;- (MA); t &lt;- A - MV - c; A &lt;- t |</v>
      </c>
    </row>
    <row r="280" spans="1:1" x14ac:dyDescent="0.2">
      <c r="A280" s="5" t="str">
        <f>"| "&amp;IF(OpCode!B228="",""&amp;OpCode!A228&amp;"","*"&amp;OpCode!A228&amp;"*")&amp;" | "&amp;IF(OpCode!B228="",""&amp;OpCode!C228&amp;"","*"&amp;OpCode!C228&amp;"*")&amp;" | "&amp;OpCode!D228&amp;" | "&amp;OpCode!E228&amp;" | "&amp;OpCode!G228&amp;" | "&amp;SUBSTITUTE(OpCode!H228,"|","/")&amp;" | ```"&amp;OpCode!I228&amp;"``` | "&amp;OpCode!J228&amp;" | "&amp;OpCode!K228&amp;" |"</f>
        <v>| *E2* | *NOP* |  | control | 1 | 2 | ```........``` | NOP | No operation |</v>
      </c>
    </row>
    <row r="281" spans="1:1" x14ac:dyDescent="0.2">
      <c r="A281" s="5" t="str">
        <f>"| "&amp;IF(OpCode!B229="",""&amp;OpCode!A229&amp;"","*"&amp;OpCode!A229&amp;"*")&amp;" | "&amp;IF(OpCode!B229="",""&amp;OpCode!C229&amp;"","*"&amp;OpCode!C229&amp;"*")&amp;" | "&amp;OpCode!D229&amp;" | "&amp;OpCode!E229&amp;" | "&amp;OpCode!G229&amp;" | "&amp;SUBSTITUTE(OpCode!H229,"|","/")&amp;" | ```"&amp;OpCode!I229&amp;"``` | "&amp;OpCode!J229&amp;" | "&amp;OpCode!K229&amp;" |"</f>
        <v>| *E3* | *NOP* |  | control | 1 | 2 | ```........``` | NOP | No operation |</v>
      </c>
    </row>
    <row r="282" spans="1:1" x14ac:dyDescent="0.2">
      <c r="A282" s="5" t="str">
        <f>"| "&amp;IF(OpCode!B230="",""&amp;OpCode!A230&amp;"","*"&amp;OpCode!A230&amp;"*")&amp;" | "&amp;IF(OpCode!B230="",""&amp;OpCode!C230&amp;"","*"&amp;OpCode!C230&amp;"*")&amp;" | "&amp;OpCode!D230&amp;" | "&amp;OpCode!E230&amp;" | "&amp;OpCode!G230&amp;" | "&amp;SUBSTITUTE(OpCode!H230,"|","/")&amp;" | ```"&amp;OpCode!I230&amp;"``` | "&amp;OpCode!J230&amp;" | "&amp;OpCode!K230&amp;" |"</f>
        <v>| E4 | CPX | dp | arith | 2 | 3 | ```N.....ZC``` | CPX $10 | MA &lt;- byte_2; MV &lt;- (MA); t &lt;- X - MV |</v>
      </c>
    </row>
    <row r="283" spans="1:1" x14ac:dyDescent="0.2">
      <c r="A283" s="5" t="str">
        <f>"| "&amp;IF(OpCode!B231="",""&amp;OpCode!A231&amp;"","*"&amp;OpCode!A231&amp;"*")&amp;" | "&amp;IF(OpCode!B231="",""&amp;OpCode!C231&amp;"","*"&amp;OpCode!C231&amp;"*")&amp;" | "&amp;OpCode!D231&amp;" | "&amp;OpCode!E231&amp;" | "&amp;OpCode!G231&amp;" | "&amp;SUBSTITUTE(OpCode!H231,"|","/")&amp;" | ```"&amp;OpCode!I231&amp;"``` | "&amp;OpCode!J231&amp;" | "&amp;OpCode!K231&amp;" |"</f>
        <v>| E5 | SBC | dp | arith | 2 | 3 | ```NV....ZC``` | SBC $10 | MA &lt;- byte_2; MV &lt;- (MA); t &lt;- A - MV - c; A &lt;- t |</v>
      </c>
    </row>
    <row r="284" spans="1:1" x14ac:dyDescent="0.2">
      <c r="A284" s="5" t="str">
        <f>"| "&amp;IF(OpCode!B232="",""&amp;OpCode!A232&amp;"","*"&amp;OpCode!A232&amp;"*")&amp;" | "&amp;IF(OpCode!B232="",""&amp;OpCode!C232&amp;"","*"&amp;OpCode!C232&amp;"*")&amp;" | "&amp;OpCode!D232&amp;" | "&amp;OpCode!E232&amp;" | "&amp;OpCode!G232&amp;" | "&amp;SUBSTITUTE(OpCode!H232,"|","/")&amp;" | ```"&amp;OpCode!I232&amp;"``` | "&amp;OpCode!J232&amp;" | "&amp;OpCode!K232&amp;" |"</f>
        <v>| E6 | INC | dp | arith | 2 | 5 | ```N.....Z.``` | INC $10 | MA &lt;- byte_2; MV &lt;- (MA); t &lt;- MV + 1; (MA) &lt;- t |</v>
      </c>
    </row>
    <row r="285" spans="1:1" x14ac:dyDescent="0.2">
      <c r="A285" s="5" t="str">
        <f>"| "&amp;IF(OpCode!B233="",""&amp;OpCode!A233&amp;"","*"&amp;OpCode!A233&amp;"*")&amp;" | "&amp;IF(OpCode!B233="",""&amp;OpCode!C233&amp;"","*"&amp;OpCode!C233&amp;"*")&amp;" | "&amp;OpCode!D233&amp;" | "&amp;OpCode!E233&amp;" | "&amp;OpCode!G233&amp;" | "&amp;SUBSTITUTE(OpCode!H233,"|","/")&amp;" | ```"&amp;OpCode!I233&amp;"``` | "&amp;OpCode!J233&amp;" | "&amp;OpCode!K233&amp;" |"</f>
        <v>| *E7* | *SMB6* | dp | logic | 2 | 5 | ```......Z.``` | SMB6 $10 | Set Memory Bit. Sets a specific bit of a byte held on zero page.  |</v>
      </c>
    </row>
    <row r="286" spans="1:1" x14ac:dyDescent="0.2">
      <c r="A286" s="5" t="str">
        <f>"| "&amp;IF(OpCode!B234="",""&amp;OpCode!A234&amp;"","*"&amp;OpCode!A234&amp;"*")&amp;" | "&amp;IF(OpCode!B234="",""&amp;OpCode!C234&amp;"","*"&amp;OpCode!C234&amp;"*")&amp;" | "&amp;OpCode!D234&amp;" | "&amp;OpCode!E234&amp;" | "&amp;OpCode!G234&amp;" | "&amp;SUBSTITUTE(OpCode!H234,"|","/")&amp;" | ```"&amp;OpCode!I234&amp;"``` | "&amp;OpCode!J234&amp;" | "&amp;OpCode!K234&amp;" |"</f>
        <v>| E8 | INX |  | arith | 1 | 2 | ```N.....Z.``` | INX | t &lt;- X + 1; X &lt;- t |</v>
      </c>
    </row>
    <row r="287" spans="1:1" x14ac:dyDescent="0.2">
      <c r="A287" s="5" t="str">
        <f>"| "&amp;IF(OpCode!B235="",""&amp;OpCode!A235&amp;"","*"&amp;OpCode!A235&amp;"*")&amp;" | "&amp;IF(OpCode!B235="",""&amp;OpCode!C235&amp;"","*"&amp;OpCode!C235&amp;"*")&amp;" | "&amp;OpCode!D235&amp;" | "&amp;OpCode!E235&amp;" | "&amp;OpCode!G235&amp;" | "&amp;SUBSTITUTE(OpCode!H235,"|","/")&amp;" | ```"&amp;OpCode!I235&amp;"``` | "&amp;OpCode!J235&amp;" | "&amp;OpCode!K235&amp;" |"</f>
        <v>| E9 | SBC | imm | arith | 2 | 2 | ```NV....ZC``` | SBC #$54 | t &lt;- A - byte_2 - c; A &lt;- t |</v>
      </c>
    </row>
    <row r="288" spans="1:1" x14ac:dyDescent="0.2">
      <c r="A288" s="5" t="str">
        <f>"| "&amp;IF(OpCode!B236="",""&amp;OpCode!A236&amp;"","*"&amp;OpCode!A236&amp;"*")&amp;" | "&amp;IF(OpCode!B236="",""&amp;OpCode!C236&amp;"","*"&amp;OpCode!C236&amp;"*")&amp;" | "&amp;OpCode!D236&amp;" | "&amp;OpCode!E236&amp;" | "&amp;OpCode!G236&amp;" | "&amp;SUBSTITUTE(OpCode!H236,"|","/")&amp;" | ```"&amp;OpCode!I236&amp;"``` | "&amp;OpCode!J236&amp;" | "&amp;OpCode!K236&amp;" |"</f>
        <v>| EA | NOP |  | control | 1 | 2 | ```........``` | NOP | No operation |</v>
      </c>
    </row>
    <row r="289" spans="1:1" x14ac:dyDescent="0.2">
      <c r="A289" s="5" t="str">
        <f>"| "&amp;IF(OpCode!B237="",""&amp;OpCode!A237&amp;"","*"&amp;OpCode!A237&amp;"*")&amp;" | "&amp;IF(OpCode!B237="",""&amp;OpCode!C237&amp;"","*"&amp;OpCode!C237&amp;"*")&amp;" | "&amp;OpCode!D237&amp;" | "&amp;OpCode!E237&amp;" | "&amp;OpCode!G237&amp;" | "&amp;SUBSTITUTE(OpCode!H237,"|","/")&amp;" | ```"&amp;OpCode!I237&amp;"``` | "&amp;OpCode!J237&amp;" | "&amp;OpCode!K237&amp;" |"</f>
        <v>| *EB* | *NOP* |  | control | 1 | 2 | ```........``` | NOP | No operation |</v>
      </c>
    </row>
    <row r="290" spans="1:1" x14ac:dyDescent="0.2">
      <c r="A290" s="5" t="str">
        <f>"| "&amp;IF(OpCode!B238="",""&amp;OpCode!A238&amp;"","*"&amp;OpCode!A238&amp;"*")&amp;" | "&amp;IF(OpCode!B238="",""&amp;OpCode!C238&amp;"","*"&amp;OpCode!C238&amp;"*")&amp;" | "&amp;OpCode!D238&amp;" | "&amp;OpCode!E238&amp;" | "&amp;OpCode!G238&amp;" | "&amp;SUBSTITUTE(OpCode!H238,"|","/")&amp;" | ```"&amp;OpCode!I238&amp;"``` | "&amp;OpCode!J238&amp;" | "&amp;OpCode!K238&amp;" |"</f>
        <v>| EC | CPX | abs | arith | 3 | 4 | ```N.....ZC``` | CPX $9876 | MA &lt;- byte_2 + 256 * byte_3; MV &lt;- (MA); t &lt;- X - MV |</v>
      </c>
    </row>
    <row r="291" spans="1:1" x14ac:dyDescent="0.2">
      <c r="A291" s="5" t="str">
        <f>"| "&amp;IF(OpCode!B239="",""&amp;OpCode!A239&amp;"","*"&amp;OpCode!A239&amp;"*")&amp;" | "&amp;IF(OpCode!B239="",""&amp;OpCode!C239&amp;"","*"&amp;OpCode!C239&amp;"*")&amp;" | "&amp;OpCode!D239&amp;" | "&amp;OpCode!E239&amp;" | "&amp;OpCode!G239&amp;" | "&amp;SUBSTITUTE(OpCode!H239,"|","/")&amp;" | ```"&amp;OpCode!I239&amp;"``` | "&amp;OpCode!J239&amp;" | "&amp;OpCode!K239&amp;" |"</f>
        <v>| ED | SBC | abs | arith | 3 | 4 | ```NV....ZC``` | SBC $9876 | MA &lt;- byte_2 + 256 * byte_3; MV &lt;- (MA); t &lt;- A - MV - c; A &lt;- t |</v>
      </c>
    </row>
    <row r="292" spans="1:1" x14ac:dyDescent="0.2">
      <c r="A292" s="5" t="str">
        <f>"| "&amp;IF(OpCode!B240="",""&amp;OpCode!A240&amp;"","*"&amp;OpCode!A240&amp;"*")&amp;" | "&amp;IF(OpCode!B240="",""&amp;OpCode!C240&amp;"","*"&amp;OpCode!C240&amp;"*")&amp;" | "&amp;OpCode!D240&amp;" | "&amp;OpCode!E240&amp;" | "&amp;OpCode!G240&amp;" | "&amp;SUBSTITUTE(OpCode!H240,"|","/")&amp;" | ```"&amp;OpCode!I240&amp;"``` | "&amp;OpCode!J240&amp;" | "&amp;OpCode!K240&amp;" |"</f>
        <v>| EE | INC | abs | arith | 3 | 6 | ```N.....Z.``` | INC $9876 | MA &lt;- byte_2 + 256 * byte_3; MV &lt;- (MA); t &lt;- MV + 1; (MA) &lt;- t |</v>
      </c>
    </row>
    <row r="293" spans="1:1" x14ac:dyDescent="0.2">
      <c r="A293" s="5" t="str">
        <f>"| "&amp;IF(OpCode!B241="",""&amp;OpCode!A241&amp;"","*"&amp;OpCode!A241&amp;"*")&amp;" | "&amp;IF(OpCode!B241="",""&amp;OpCode!C241&amp;"","*"&amp;OpCode!C241&amp;"*")&amp;" | "&amp;OpCode!D241&amp;" | "&amp;OpCode!E241&amp;" | "&amp;OpCode!G241&amp;" | "&amp;SUBSTITUTE(OpCode!H241,"|","/")&amp;" | ```"&amp;OpCode!I241&amp;"``` | "&amp;OpCode!J241&amp;" | "&amp;OpCode!K241&amp;" |"</f>
        <v>| *EF* | *BBS6* | dp,rel8 | branch | 3 | 2/3 | ```........``` | BBS6 $10,LABEL | Branch on Bit Set. Tests a specific bit of a byte held on zero page and causes a branch of the bit is set (1) |</v>
      </c>
    </row>
    <row r="294" spans="1:1" x14ac:dyDescent="0.2">
      <c r="A294" s="5" t="str">
        <f>"| "&amp;IF(OpCode!B242="",""&amp;OpCode!A242&amp;"","*"&amp;OpCode!A242&amp;"*")&amp;" | "&amp;IF(OpCode!B242="",""&amp;OpCode!C242&amp;"","*"&amp;OpCode!C242&amp;"*")&amp;" | "&amp;OpCode!D242&amp;" | "&amp;OpCode!E242&amp;" | "&amp;OpCode!G242&amp;" | "&amp;SUBSTITUTE(OpCode!H242,"|","/")&amp;" | ```"&amp;OpCode!I242&amp;"``` | "&amp;OpCode!J242&amp;" | "&amp;OpCode!K242&amp;" |"</f>
        <v>| F0 | BEQ | rel8 | branch | 2 | 2/3 | ```........``` | BEQ LABEL | if Z , PC &lt;- PC + byte_2 |</v>
      </c>
    </row>
    <row r="295" spans="1:1" x14ac:dyDescent="0.2">
      <c r="A295" s="5" t="str">
        <f>"| "&amp;IF(OpCode!B243="",""&amp;OpCode!A243&amp;"","*"&amp;OpCode!A243&amp;"*")&amp;" | "&amp;IF(OpCode!B243="",""&amp;OpCode!C243&amp;"","*"&amp;OpCode!C243&amp;"*")&amp;" | "&amp;OpCode!D243&amp;" | "&amp;OpCode!E243&amp;" | "&amp;OpCode!G243&amp;" | "&amp;SUBSTITUTE(OpCode!H243,"|","/")&amp;" | ```"&amp;OpCode!I243&amp;"``` | "&amp;OpCode!J243&amp;" | "&amp;OpCode!K243&amp;" |"</f>
        <v>| F1 | SBC | (dp),Y | arith | 2 | 5 | ```NV....ZC``` | SBC ($10),Y | MA &lt;- byte_2; MA &lt;- (MA) + Y; MV &lt;- (MA); t &lt;- A - MV - c; A &lt;- t |</v>
      </c>
    </row>
    <row r="296" spans="1:1" x14ac:dyDescent="0.2">
      <c r="A296" s="5" t="str">
        <f>"| "&amp;IF(OpCode!B244="",""&amp;OpCode!A244&amp;"","*"&amp;OpCode!A244&amp;"*")&amp;" | "&amp;IF(OpCode!B244="",""&amp;OpCode!C244&amp;"","*"&amp;OpCode!C244&amp;"*")&amp;" | "&amp;OpCode!D244&amp;" | "&amp;OpCode!E244&amp;" | "&amp;OpCode!G244&amp;" | "&amp;SUBSTITUTE(OpCode!H244,"|","/")&amp;" | ```"&amp;OpCode!I244&amp;"``` | "&amp;OpCode!J244&amp;" | "&amp;OpCode!K244&amp;" |"</f>
        <v>| *F2* | *NOP* |  | control | 1 | 2 | ```........``` | NOP | No operation |</v>
      </c>
    </row>
    <row r="297" spans="1:1" x14ac:dyDescent="0.2">
      <c r="A297" s="5" t="str">
        <f>"| "&amp;IF(OpCode!B245="",""&amp;OpCode!A245&amp;"","*"&amp;OpCode!A245&amp;"*")&amp;" | "&amp;IF(OpCode!B245="",""&amp;OpCode!C245&amp;"","*"&amp;OpCode!C245&amp;"*")&amp;" | "&amp;OpCode!D245&amp;" | "&amp;OpCode!E245&amp;" | "&amp;OpCode!G245&amp;" | "&amp;SUBSTITUTE(OpCode!H245,"|","/")&amp;" | ```"&amp;OpCode!I245&amp;"``` | "&amp;OpCode!J245&amp;" | "&amp;OpCode!K245&amp;" |"</f>
        <v>| *F3* | *NOP* |  | control | 1 | 2 | ```........``` | NOP | No operation |</v>
      </c>
    </row>
    <row r="298" spans="1:1" x14ac:dyDescent="0.2">
      <c r="A298" s="5" t="str">
        <f>"| "&amp;IF(OpCode!B246="",""&amp;OpCode!A246&amp;"","*"&amp;OpCode!A246&amp;"*")&amp;" | "&amp;IF(OpCode!B246="",""&amp;OpCode!C246&amp;"","*"&amp;OpCode!C246&amp;"*")&amp;" | "&amp;OpCode!D246&amp;" | "&amp;OpCode!E246&amp;" | "&amp;OpCode!G246&amp;" | "&amp;SUBSTITUTE(OpCode!H246,"|","/")&amp;" | ```"&amp;OpCode!I246&amp;"``` | "&amp;OpCode!J246&amp;" | "&amp;OpCode!K246&amp;" |"</f>
        <v>| *F4* | *NOP* |  | control | 1 | 2 | ```........``` | NOP | No operation |</v>
      </c>
    </row>
    <row r="299" spans="1:1" x14ac:dyDescent="0.2">
      <c r="A299" s="5" t="str">
        <f>"| "&amp;IF(OpCode!B247="",""&amp;OpCode!A247&amp;"","*"&amp;OpCode!A247&amp;"*")&amp;" | "&amp;IF(OpCode!B247="",""&amp;OpCode!C247&amp;"","*"&amp;OpCode!C247&amp;"*")&amp;" | "&amp;OpCode!D247&amp;" | "&amp;OpCode!E247&amp;" | "&amp;OpCode!G247&amp;" | "&amp;SUBSTITUTE(OpCode!H247,"|","/")&amp;" | ```"&amp;OpCode!I247&amp;"``` | "&amp;OpCode!J247&amp;" | "&amp;OpCode!K247&amp;" |"</f>
        <v>| F5 | SBC | dp,X | arith | 2 | 4 | ```NV....ZC``` | SBC $10,X | MA &lt;- byte_2 + X; MV &lt;- (MA); t &lt;- A - MV - c; A &lt;- t |</v>
      </c>
    </row>
    <row r="300" spans="1:1" x14ac:dyDescent="0.2">
      <c r="A300" s="5" t="str">
        <f>"| "&amp;IF(OpCode!B248="",""&amp;OpCode!A248&amp;"","*"&amp;OpCode!A248&amp;"*")&amp;" | "&amp;IF(OpCode!B248="",""&amp;OpCode!C248&amp;"","*"&amp;OpCode!C248&amp;"*")&amp;" | "&amp;OpCode!D248&amp;" | "&amp;OpCode!E248&amp;" | "&amp;OpCode!G248&amp;" | "&amp;SUBSTITUTE(OpCode!H248,"|","/")&amp;" | ```"&amp;OpCode!I248&amp;"``` | "&amp;OpCode!J248&amp;" | "&amp;OpCode!K248&amp;" |"</f>
        <v>| F6 | INC | dp,X | arith | 2 | 6 | ```N.....Z.``` | INC $10,X | MA &lt;- byte_2 + X; MV &lt;- (MA); t &lt;- MV + 1; (MA) &lt;- t |</v>
      </c>
    </row>
    <row r="301" spans="1:1" x14ac:dyDescent="0.2">
      <c r="A301" s="5" t="str">
        <f>"| "&amp;IF(OpCode!B249="",""&amp;OpCode!A249&amp;"","*"&amp;OpCode!A249&amp;"*")&amp;" | "&amp;IF(OpCode!B249="",""&amp;OpCode!C249&amp;"","*"&amp;OpCode!C249&amp;"*")&amp;" | "&amp;OpCode!D249&amp;" | "&amp;OpCode!E249&amp;" | "&amp;OpCode!G249&amp;" | "&amp;SUBSTITUTE(OpCode!H249,"|","/")&amp;" | ```"&amp;OpCode!I249&amp;"``` | "&amp;OpCode!J249&amp;" | "&amp;OpCode!K249&amp;" |"</f>
        <v>| *F7* | *SMB7* | dp | logic | 2 | 5 | ```......Z.``` | SMB7 $10 | Set Memory Bit. Sets a specific bit of a byte held on zero page.  |</v>
      </c>
    </row>
    <row r="302" spans="1:1" x14ac:dyDescent="0.2">
      <c r="A302" s="5" t="str">
        <f>"| "&amp;IF(OpCode!B250="",""&amp;OpCode!A250&amp;"","*"&amp;OpCode!A250&amp;"*")&amp;" | "&amp;IF(OpCode!B250="",""&amp;OpCode!C250&amp;"","*"&amp;OpCode!C250&amp;"*")&amp;" | "&amp;OpCode!D250&amp;" | "&amp;OpCode!E250&amp;" | "&amp;OpCode!G250&amp;" | "&amp;SUBSTITUTE(OpCode!H250,"|","/")&amp;" | ```"&amp;OpCode!I250&amp;"``` | "&amp;OpCode!J250&amp;" | "&amp;OpCode!K250&amp;" |"</f>
        <v>| F8 | SED |  | control | 1 | 2 | ```....1...``` | SED | d &lt;- 1 |</v>
      </c>
    </row>
    <row r="303" spans="1:1" x14ac:dyDescent="0.2">
      <c r="A303" s="5" t="str">
        <f>"| "&amp;IF(OpCode!B251="",""&amp;OpCode!A251&amp;"","*"&amp;OpCode!A251&amp;"*")&amp;" | "&amp;IF(OpCode!B251="",""&amp;OpCode!C251&amp;"","*"&amp;OpCode!C251&amp;"*")&amp;" | "&amp;OpCode!D251&amp;" | "&amp;OpCode!E251&amp;" | "&amp;OpCode!G251&amp;" | "&amp;SUBSTITUTE(OpCode!H251,"|","/")&amp;" | ```"&amp;OpCode!I251&amp;"``` | "&amp;OpCode!J251&amp;" | "&amp;OpCode!K251&amp;" |"</f>
        <v>| F9 | SBC | abs,Y | arith | 3 | 4 | ```NV....ZC``` | SBC $9876,Y | MA &lt;- byte_2 + 256 * byte_3 + Y; MV &lt;- (MA); t &lt;- A - MV - c; A &lt;- t |</v>
      </c>
    </row>
    <row r="304" spans="1:1" x14ac:dyDescent="0.2">
      <c r="A304" s="5" t="str">
        <f>"| "&amp;IF(OpCode!B252="",""&amp;OpCode!A252&amp;"","*"&amp;OpCode!A252&amp;"*")&amp;" | "&amp;IF(OpCode!B252="",""&amp;OpCode!C252&amp;"","*"&amp;OpCode!C252&amp;"*")&amp;" | "&amp;OpCode!D252&amp;" | "&amp;OpCode!E252&amp;" | "&amp;OpCode!G252&amp;" | "&amp;SUBSTITUTE(OpCode!H252,"|","/")&amp;" | ```"&amp;OpCode!I252&amp;"``` | "&amp;OpCode!J252&amp;" | "&amp;OpCode!K252&amp;" |"</f>
        <v>| FA | PLX |  | stack | 1 | 4 | ```N.....Z.``` | PLX | X &lt;- (SP) |</v>
      </c>
    </row>
    <row r="305" spans="1:1" x14ac:dyDescent="0.2">
      <c r="A305" s="5" t="str">
        <f>"| "&amp;IF(OpCode!B253="",""&amp;OpCode!A253&amp;"","*"&amp;OpCode!A253&amp;"*")&amp;" | "&amp;IF(OpCode!B253="",""&amp;OpCode!C253&amp;"","*"&amp;OpCode!C253&amp;"*")&amp;" | "&amp;OpCode!D253&amp;" | "&amp;OpCode!E253&amp;" | "&amp;OpCode!G253&amp;" | "&amp;SUBSTITUTE(OpCode!H253,"|","/")&amp;" | ```"&amp;OpCode!I253&amp;"``` | "&amp;OpCode!J253&amp;" | "&amp;OpCode!K253&amp;" |"</f>
        <v>| *FB* | *NOP* |  | control | 1 | 2 | ```........``` | NOP | No operation |</v>
      </c>
    </row>
    <row r="306" spans="1:1" x14ac:dyDescent="0.2">
      <c r="A306" s="5" t="str">
        <f>"| "&amp;IF(OpCode!B254="",""&amp;OpCode!A254&amp;"","*"&amp;OpCode!A254&amp;"*")&amp;" | "&amp;IF(OpCode!B254="",""&amp;OpCode!C254&amp;"","*"&amp;OpCode!C254&amp;"*")&amp;" | "&amp;OpCode!D254&amp;" | "&amp;OpCode!E254&amp;" | "&amp;OpCode!G254&amp;" | "&amp;SUBSTITUTE(OpCode!H254,"|","/")&amp;" | ```"&amp;OpCode!I254&amp;"``` | "&amp;OpCode!J254&amp;" | "&amp;OpCode!K254&amp;" |"</f>
        <v>| FC | SBC | (dp) | arith | 2 | 5 | ```NV....ZC``` | SBC ($10) | MA &lt;- byte_2 + 256 * byte_3; MV &lt;- (MA); t &lt;- A - MV - c; A &lt;- t |</v>
      </c>
    </row>
    <row r="307" spans="1:1" x14ac:dyDescent="0.2">
      <c r="A307" s="5" t="str">
        <f>"| "&amp;IF(OpCode!B255="",""&amp;OpCode!A255&amp;"","*"&amp;OpCode!A255&amp;"*")&amp;" | "&amp;IF(OpCode!B255="",""&amp;OpCode!C255&amp;"","*"&amp;OpCode!C255&amp;"*")&amp;" | "&amp;OpCode!D255&amp;" | "&amp;OpCode!E255&amp;" | "&amp;OpCode!G255&amp;" | "&amp;SUBSTITUTE(OpCode!H255,"|","/")&amp;" | ```"&amp;OpCode!I255&amp;"``` | "&amp;OpCode!J255&amp;" | "&amp;OpCode!K255&amp;" |"</f>
        <v>| FD | SBC | abs,X | arith | 3 | 4 | ```NV....ZC``` | SBC $9876,X | MA &lt;- byte_2 + 256 * byte_3 + X; MV &lt;- (MA); t &lt;- A - MV - c; A &lt;- t |</v>
      </c>
    </row>
    <row r="308" spans="1:1" x14ac:dyDescent="0.2">
      <c r="A308" s="5" t="str">
        <f>"| "&amp;IF(OpCode!B256="",""&amp;OpCode!A256&amp;"","*"&amp;OpCode!A256&amp;"*")&amp;" | "&amp;IF(OpCode!B256="",""&amp;OpCode!C256&amp;"","*"&amp;OpCode!C256&amp;"*")&amp;" | "&amp;OpCode!D256&amp;" | "&amp;OpCode!E256&amp;" | "&amp;OpCode!G256&amp;" | "&amp;SUBSTITUTE(OpCode!H256,"|","/")&amp;" | ```"&amp;OpCode!I256&amp;"``` | "&amp;OpCode!J256&amp;" | "&amp;OpCode!K256&amp;" |"</f>
        <v>| FE | INC | abs,X | arith | 3 | 7 | ```N.....Z.``` | INC $9876,X | MA &lt;- byte_2 + 256 * byte_3 + X; MV &lt;- (MA); t &lt;- MV + 1; (MA) &lt;- t |</v>
      </c>
    </row>
    <row r="309" spans="1:1" x14ac:dyDescent="0.2">
      <c r="A309" s="5" t="str">
        <f>"| "&amp;IF(OpCode!B257="",""&amp;OpCode!A257&amp;"","*"&amp;OpCode!A257&amp;"*")&amp;" | "&amp;IF(OpCode!B257="",""&amp;OpCode!C257&amp;"","*"&amp;OpCode!C257&amp;"*")&amp;" | "&amp;OpCode!D257&amp;" | "&amp;OpCode!E257&amp;" | "&amp;OpCode!G257&amp;" | "&amp;SUBSTITUTE(OpCode!H257,"|","/")&amp;" | ```"&amp;OpCode!I257&amp;"``` | "&amp;OpCode!J257&amp;" | "&amp;OpCode!K257&amp;" |"</f>
        <v>| *FF* | *BBS7* | dp,rel8 | branch | 3 | 2/3 | ```........``` | BBS7 $10,LABEL | Branch on Bit Set. Tests a specific bit of a byte held on zero page and causes a branch of the bit is set (1) |</v>
      </c>
    </row>
    <row r="311" spans="1:1" x14ac:dyDescent="0.2">
      <c r="A311" s="5" t="s">
        <v>212</v>
      </c>
    </row>
    <row r="312" spans="1:1" x14ac:dyDescent="0.2">
      <c r="A312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3" spans="1:1" x14ac:dyDescent="0.2">
      <c r="A313" s="9" t="s">
        <v>224</v>
      </c>
    </row>
    <row r="314" spans="1:1" x14ac:dyDescent="0.2">
      <c r="A314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BRK  | ORA (dp,X) |   |   | TSB dp | ORA dp | ASL dp |   | PHP  | ORA imm | ASL A |   | TSB abs | ORA abs | ASL abs |   |</v>
      </c>
    </row>
    <row r="315" spans="1:1" x14ac:dyDescent="0.2">
      <c r="A315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BPL rel8 | ORA (dp),Y | ORA (dp) |   | TRB dp | ORA dp,X | ASL dp,X |   | CLC  | ORA abs,Y | INC A |   | TRB abs | ORA abs,X | ASL abs,X |   |</v>
      </c>
    </row>
    <row r="316" spans="1:1" x14ac:dyDescent="0.2">
      <c r="A316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JSR abs | AND (dp,X) |   |   | BIT dp | AND dp | ROL dp |   | PLP  | AND imm | ROL A |   | BIT abs | AND abs | ROL abs |   |</v>
      </c>
    </row>
    <row r="317" spans="1:1" x14ac:dyDescent="0.2">
      <c r="A317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BMI rel8 | AND (dp),Y | AND (dp) |   | BIT dp,X | AND dp,X | ROL dp,X |   | SEC  | AND abs,Y | DEC A |   | BIT abs,X | AND abs,X | ROL abs,X |   |</v>
      </c>
    </row>
    <row r="318" spans="1:1" x14ac:dyDescent="0.2">
      <c r="A318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RTI  | EOR (dp,X) |   |   |   | EOR dp | LSR dp |   | PHA  | EOR imm | LSR  |   | JMP abs | EOR abs | LSR abs |   |</v>
      </c>
    </row>
    <row r="319" spans="1:1" x14ac:dyDescent="0.2">
      <c r="A319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BVC rel8 | EOR (dp),Y | EOR (dp) |   |   | EOR dp,X | LSR dp,X |   | CLI  | EOR abs,Y | PHY  |   |   | EOR abs,X | LSR abs,X |   |</v>
      </c>
    </row>
    <row r="320" spans="1:1" x14ac:dyDescent="0.2">
      <c r="A320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RTS  | ADC (dp,X) |   |   | STZ dp | ADC dp | ROR dp |   | PLA  | ADC imm | ROR A |   | JMP (abs) | ADC abs | ROR abs |   |</v>
      </c>
    </row>
    <row r="321" spans="1:1" x14ac:dyDescent="0.2">
      <c r="A321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BVS rel8 | ADC (dp),Y | ADC (dp) |   | STZ dp,X | ADC dp,X | ROR dp,X |   | SEI  | ADC abs,Y | PLY  |   | JMP (abs,X) | ADC abs,X | ROR abs,X |   |</v>
      </c>
    </row>
    <row r="322" spans="1:1" x14ac:dyDescent="0.2">
      <c r="A322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BRA rel8 | STA (dp,X) |   |   | STY dp | STA dp | STX dp |   | DEY  | BIT imm | TXA  |   | STY abs | STA abs | STX abs |   |</v>
      </c>
    </row>
    <row r="323" spans="1:1" x14ac:dyDescent="0.2">
      <c r="A323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BCC rel8 | STA (dp),Y | STA (dp) |   | STY dp,X | STA dp,X | STX dp,Y |   | TYA  | STA abs,Y | TXS  |   | STZ abs | STA abs,X | STZ abs,X |   |</v>
      </c>
    </row>
    <row r="324" spans="1:1" x14ac:dyDescent="0.2">
      <c r="A324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LDY imm | LDA (dp,X) | LDX imm |   | LDY dp | LDA dp | LDX dp |   | TAY  | LDA imm | TAX  |   | LDY abs | LDA abs | LDX abs |   |</v>
      </c>
    </row>
    <row r="325" spans="1:1" x14ac:dyDescent="0.2">
      <c r="A325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BCS rel8 | LDA (dp),Y | LDA (dp) |   | LDY dp,X | LDA dp,X | LDX dp,Y |   | CLV  | LDA abs,Y | TSX  |   | LDY abs,X | LDA abs,X | LDX abs,Y |   |</v>
      </c>
    </row>
    <row r="326" spans="1:1" x14ac:dyDescent="0.2">
      <c r="A326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CPY imm | CMP (dp,X) |   |   | CPY dp | CMP dp | DEC dp |   | INY  | CMP imm | DEX  | WAI  | CPY abs | CMP abs | DEC abs |   |</v>
      </c>
    </row>
    <row r="327" spans="1:1" x14ac:dyDescent="0.2">
      <c r="A327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BNE rel8 | CMP (dp),Y | CMP (dp) |   |   | CMP dp,X | DEC dp,X |   | CLD  | CMP abs,Y | PHX  | STP  |   | CMP abs,X | DEC abs,X |   |</v>
      </c>
    </row>
    <row r="328" spans="1:1" x14ac:dyDescent="0.2">
      <c r="A328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CPX imm | SBC (dp,X) |   |   | CPX dp | SBC dp | INC dp |   | INX  | SBC imm | NOP  |   | CPX abs | SBC abs | INC abs |   |</v>
      </c>
    </row>
    <row r="329" spans="1:1" x14ac:dyDescent="0.2">
      <c r="A329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BEQ rel8 | SBC (dp),Y |   |   |   | SBC dp,X | INC dp,X |   | SED  | SBC abs,Y | PLX  |   | SBC (dp) | SBC abs,X | INC abs,X |   |</v>
      </c>
    </row>
    <row r="331" spans="1:1" x14ac:dyDescent="0.2">
      <c r="A331" s="5" t="s">
        <v>349</v>
      </c>
    </row>
    <row r="333" spans="1:1" x14ac:dyDescent="0.2">
      <c r="A333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34" spans="1:1" x14ac:dyDescent="0.2">
      <c r="A334" s="9" t="s">
        <v>224</v>
      </c>
    </row>
    <row r="335" spans="1:1" x14ac:dyDescent="0.2">
      <c r="A335" s="5" t="str">
        <f>SUBSTITUTE("| **"&amp;Table!A20&amp;"** | "&amp;Table!B20&amp;" | "&amp;Table!C20&amp;" | "&amp;Table!D20&amp;" | "&amp;Table!E20&amp;" | "&amp;Table!F20&amp;" | "&amp;Table!G20&amp;" | "&amp;Table!H20&amp;" | "&amp;Table!I20&amp;" | "&amp;Table!J20&amp;" | "&amp;Table!K20&amp;" | "&amp;Table!L20&amp;" | "&amp;Table!M20&amp;" | "&amp;Table!N20&amp;" | "&amp;Table!O20&amp;" | "&amp;Table!P20&amp;" | "&amp;Table!Q20&amp;" |",CHAR(10)," ")</f>
        <v>| **0** |   |   |   |   |   |   |   | RMB0 dp |   |   |   |   |   |   |   | BBR0 dp,rel8 |</v>
      </c>
    </row>
    <row r="336" spans="1:1" x14ac:dyDescent="0.2">
      <c r="A336" s="5" t="str">
        <f>SUBSTITUTE("| **"&amp;Table!A21&amp;"** | "&amp;Table!B21&amp;" | "&amp;Table!C21&amp;" | "&amp;Table!D21&amp;" | "&amp;Table!E21&amp;" | "&amp;Table!F21&amp;" | "&amp;Table!G21&amp;" | "&amp;Table!H21&amp;" | "&amp;Table!I21&amp;" | "&amp;Table!J21&amp;" | "&amp;Table!K21&amp;" | "&amp;Table!L21&amp;" | "&amp;Table!M21&amp;" | "&amp;Table!N21&amp;" | "&amp;Table!O21&amp;" | "&amp;Table!P21&amp;" | "&amp;Table!Q21&amp;" |",CHAR(10)," ")</f>
        <v>| **1** |   |   |   |   |   |   |   | RMB1 dp |   |   |   |   |   |   |   | BBR1 dp,rel8 |</v>
      </c>
    </row>
    <row r="337" spans="1:1" x14ac:dyDescent="0.2">
      <c r="A337" s="5" t="str">
        <f>SUBSTITUTE("| **"&amp;Table!A22&amp;"** | "&amp;Table!B22&amp;" | "&amp;Table!C22&amp;" | "&amp;Table!D22&amp;" | "&amp;Table!E22&amp;" | "&amp;Table!F22&amp;" | "&amp;Table!G22&amp;" | "&amp;Table!H22&amp;" | "&amp;Table!I22&amp;" | "&amp;Table!J22&amp;" | "&amp;Table!K22&amp;" | "&amp;Table!L22&amp;" | "&amp;Table!M22&amp;" | "&amp;Table!N22&amp;" | "&amp;Table!O22&amp;" | "&amp;Table!P22&amp;" | "&amp;Table!Q22&amp;" |",CHAR(10)," ")</f>
        <v>| **2** |   |   |   |   |   |   |   | RMB2 dp |   |   |   |   |   |   |   | BBR2 dp,rel8 |</v>
      </c>
    </row>
    <row r="338" spans="1:1" x14ac:dyDescent="0.2">
      <c r="A338" s="5" t="str">
        <f>SUBSTITUTE("| **"&amp;Table!A23&amp;"** | "&amp;Table!B23&amp;" | "&amp;Table!C23&amp;" | "&amp;Table!D23&amp;" | "&amp;Table!E23&amp;" | "&amp;Table!F23&amp;" | "&amp;Table!G23&amp;" | "&amp;Table!H23&amp;" | "&amp;Table!I23&amp;" | "&amp;Table!J23&amp;" | "&amp;Table!K23&amp;" | "&amp;Table!L23&amp;" | "&amp;Table!M23&amp;" | "&amp;Table!N23&amp;" | "&amp;Table!O23&amp;" | "&amp;Table!P23&amp;" | "&amp;Table!Q23&amp;" |",CHAR(10)," ")</f>
        <v>| **3** |   |   |   |   |   |   |   | RMB3 dp |   |   |   |   |   |   |   | BBR3 dp,rel8 |</v>
      </c>
    </row>
    <row r="339" spans="1:1" x14ac:dyDescent="0.2">
      <c r="A339" s="5" t="str">
        <f>SUBSTITUTE("| **"&amp;Table!A24&amp;"** | "&amp;Table!B24&amp;" | "&amp;Table!C24&amp;" | "&amp;Table!D24&amp;" | "&amp;Table!E24&amp;" | "&amp;Table!F24&amp;" | "&amp;Table!G24&amp;" | "&amp;Table!H24&amp;" | "&amp;Table!I24&amp;" | "&amp;Table!J24&amp;" | "&amp;Table!K24&amp;" | "&amp;Table!L24&amp;" | "&amp;Table!M24&amp;" | "&amp;Table!N24&amp;" | "&amp;Table!O24&amp;" | "&amp;Table!P24&amp;" | "&amp;Table!Q24&amp;" |",CHAR(10)," ")</f>
        <v>| **4** |   |   |   |   |   |   |   | RMB4 dp |   |   |   |   |   |   |   | BBR4 dp,rel8 |</v>
      </c>
    </row>
    <row r="340" spans="1:1" x14ac:dyDescent="0.2">
      <c r="A340" s="5" t="str">
        <f>SUBSTITUTE("| **"&amp;Table!A25&amp;"** | "&amp;Table!B25&amp;" | "&amp;Table!C25&amp;" | "&amp;Table!D25&amp;" | "&amp;Table!E25&amp;" | "&amp;Table!F25&amp;" | "&amp;Table!G25&amp;" | "&amp;Table!H25&amp;" | "&amp;Table!I25&amp;" | "&amp;Table!J25&amp;" | "&amp;Table!K25&amp;" | "&amp;Table!L25&amp;" | "&amp;Table!M25&amp;" | "&amp;Table!N25&amp;" | "&amp;Table!O25&amp;" | "&amp;Table!P25&amp;" | "&amp;Table!Q25&amp;" |",CHAR(10)," ")</f>
        <v>| **5** |   |   |   |   |   |   |   | RMB5 dp |   |   |   |   |   |   |   | BBR5 dp,rel8 |</v>
      </c>
    </row>
    <row r="341" spans="1:1" x14ac:dyDescent="0.2">
      <c r="A341" s="5" t="str">
        <f>SUBSTITUTE("| **"&amp;Table!A26&amp;"** | "&amp;Table!B26&amp;" | "&amp;Table!C26&amp;" | "&amp;Table!D26&amp;" | "&amp;Table!E26&amp;" | "&amp;Table!F26&amp;" | "&amp;Table!G26&amp;" | "&amp;Table!H26&amp;" | "&amp;Table!I26&amp;" | "&amp;Table!J26&amp;" | "&amp;Table!K26&amp;" | "&amp;Table!L26&amp;" | "&amp;Table!M26&amp;" | "&amp;Table!N26&amp;" | "&amp;Table!O26&amp;" | "&amp;Table!P26&amp;" | "&amp;Table!Q26&amp;" |",CHAR(10)," ")</f>
        <v>| **6** |   |   |   |   |   |   |   | RMB6 dp |   |   |   |   |   |   |   | BBR6 dp,rel8 |</v>
      </c>
    </row>
    <row r="342" spans="1:1" x14ac:dyDescent="0.2">
      <c r="A342" s="5" t="str">
        <f>SUBSTITUTE("| **"&amp;Table!A27&amp;"** | "&amp;Table!B27&amp;" | "&amp;Table!C27&amp;" | "&amp;Table!D27&amp;" | "&amp;Table!E27&amp;" | "&amp;Table!F27&amp;" | "&amp;Table!G27&amp;" | "&amp;Table!H27&amp;" | "&amp;Table!I27&amp;" | "&amp;Table!J27&amp;" | "&amp;Table!K27&amp;" | "&amp;Table!L27&amp;" | "&amp;Table!M27&amp;" | "&amp;Table!N27&amp;" | "&amp;Table!O27&amp;" | "&amp;Table!P27&amp;" | "&amp;Table!Q27&amp;" |",CHAR(10)," ")</f>
        <v>| **7** |   |   |   |   |   |   |   | RMB7 dp |   |   |   |   |   |   |   | BBR7 dp,rel8 |</v>
      </c>
    </row>
    <row r="343" spans="1:1" x14ac:dyDescent="0.2">
      <c r="A343" s="5" t="str">
        <f>SUBSTITUTE("| **"&amp;Table!A28&amp;"** | "&amp;Table!B28&amp;" | "&amp;Table!C28&amp;" | "&amp;Table!D28&amp;" | "&amp;Table!E28&amp;" | "&amp;Table!F28&amp;" | "&amp;Table!G28&amp;" | "&amp;Table!H28&amp;" | "&amp;Table!I28&amp;" | "&amp;Table!J28&amp;" | "&amp;Table!K28&amp;" | "&amp;Table!L28&amp;" | "&amp;Table!M28&amp;" | "&amp;Table!N28&amp;" | "&amp;Table!O28&amp;" | "&amp;Table!P28&amp;" | "&amp;Table!Q28&amp;" |",CHAR(10)," ")</f>
        <v>| **8** |   |   |   |   |   |   |   | SMB0 dp |   |   |   |   |   |   |   | BBS0 dp,rel8 |</v>
      </c>
    </row>
    <row r="344" spans="1:1" x14ac:dyDescent="0.2">
      <c r="A344" s="5" t="str">
        <f>SUBSTITUTE("| **"&amp;Table!A29&amp;"** | "&amp;Table!B29&amp;" | "&amp;Table!C29&amp;" | "&amp;Table!D29&amp;" | "&amp;Table!E29&amp;" | "&amp;Table!F29&amp;" | "&amp;Table!G29&amp;" | "&amp;Table!H29&amp;" | "&amp;Table!I29&amp;" | "&amp;Table!J29&amp;" | "&amp;Table!K29&amp;" | "&amp;Table!L29&amp;" | "&amp;Table!M29&amp;" | "&amp;Table!N29&amp;" | "&amp;Table!O29&amp;" | "&amp;Table!P29&amp;" | "&amp;Table!Q29&amp;" |",CHAR(10)," ")</f>
        <v>| **9** |   |   |   |   |   |   |   | SMB1 dp |   |   |   |   |   |   |   | BBS1 dp,rel8 |</v>
      </c>
    </row>
    <row r="345" spans="1:1" x14ac:dyDescent="0.2">
      <c r="A345" s="5" t="str">
        <f>SUBSTITUTE("| **"&amp;Table!A30&amp;"** | "&amp;Table!B30&amp;" | "&amp;Table!C30&amp;" | "&amp;Table!D30&amp;" | "&amp;Table!E30&amp;" | "&amp;Table!F30&amp;" | "&amp;Table!G30&amp;" | "&amp;Table!H30&amp;" | "&amp;Table!I30&amp;" | "&amp;Table!J30&amp;" | "&amp;Table!K30&amp;" | "&amp;Table!L30&amp;" | "&amp;Table!M30&amp;" | "&amp;Table!N30&amp;" | "&amp;Table!O30&amp;" | "&amp;Table!P30&amp;" | "&amp;Table!Q30&amp;" |",CHAR(10)," ")</f>
        <v>| **A** |   |   |   |   |   |   |   | SMB2 dp |   |   |   |   |   |   |   | BBS2 dp,rel8 |</v>
      </c>
    </row>
    <row r="346" spans="1:1" x14ac:dyDescent="0.2">
      <c r="A346" s="5" t="str">
        <f>SUBSTITUTE("| **"&amp;Table!A31&amp;"** | "&amp;Table!B31&amp;" | "&amp;Table!C31&amp;" | "&amp;Table!D31&amp;" | "&amp;Table!E31&amp;" | "&amp;Table!F31&amp;" | "&amp;Table!G31&amp;" | "&amp;Table!H31&amp;" | "&amp;Table!I31&amp;" | "&amp;Table!J31&amp;" | "&amp;Table!K31&amp;" | "&amp;Table!L31&amp;" | "&amp;Table!M31&amp;" | "&amp;Table!N31&amp;" | "&amp;Table!O31&amp;" | "&amp;Table!P31&amp;" | "&amp;Table!Q31&amp;" |",CHAR(10)," ")</f>
        <v>| **B** |   |   |   |   |   |   |   | SMB3 dp |   |   |   |   |   |   |   | BBS3 dp,rel8 |</v>
      </c>
    </row>
    <row r="347" spans="1:1" x14ac:dyDescent="0.2">
      <c r="A347" s="5" t="str">
        <f>SUBSTITUTE("| **"&amp;Table!A32&amp;"** | "&amp;Table!B32&amp;" | "&amp;Table!C32&amp;" | "&amp;Table!D32&amp;" | "&amp;Table!E32&amp;" | "&amp;Table!F32&amp;" | "&amp;Table!G32&amp;" | "&amp;Table!H32&amp;" | "&amp;Table!I32&amp;" | "&amp;Table!J32&amp;" | "&amp;Table!K32&amp;" | "&amp;Table!L32&amp;" | "&amp;Table!M32&amp;" | "&amp;Table!N32&amp;" | "&amp;Table!O32&amp;" | "&amp;Table!P32&amp;" | "&amp;Table!Q32&amp;" |",CHAR(10)," ")</f>
        <v>| **C** |   |   |   |   |   |   |   | SMB4 dp |   |   |   |   |   |   |   | BBS4 dp,rel8 |</v>
      </c>
    </row>
    <row r="348" spans="1:1" x14ac:dyDescent="0.2">
      <c r="A348" s="5" t="str">
        <f>SUBSTITUTE("| **"&amp;Table!A33&amp;"** | "&amp;Table!B33&amp;" | "&amp;Table!C33&amp;" | "&amp;Table!D33&amp;" | "&amp;Table!E33&amp;" | "&amp;Table!F33&amp;" | "&amp;Table!G33&amp;" | "&amp;Table!H33&amp;" | "&amp;Table!I33&amp;" | "&amp;Table!J33&amp;" | "&amp;Table!K33&amp;" | "&amp;Table!L33&amp;" | "&amp;Table!M33&amp;" | "&amp;Table!N33&amp;" | "&amp;Table!O33&amp;" | "&amp;Table!P33&amp;" | "&amp;Table!Q33&amp;" |",CHAR(10)," ")</f>
        <v>| **D** |   |   |   |   |   |   |   | SMB5 dp |   |   |   |   |   |   |   | BBS5 dp,rel8 |</v>
      </c>
    </row>
    <row r="349" spans="1:1" x14ac:dyDescent="0.2">
      <c r="A349" s="5" t="str">
        <f>SUBSTITUTE("| **"&amp;Table!A34&amp;"** | "&amp;Table!B34&amp;" | "&amp;Table!C34&amp;" | "&amp;Table!D34&amp;" | "&amp;Table!E34&amp;" | "&amp;Table!F34&amp;" | "&amp;Table!G34&amp;" | "&amp;Table!H34&amp;" | "&amp;Table!I34&amp;" | "&amp;Table!J34&amp;" | "&amp;Table!K34&amp;" | "&amp;Table!L34&amp;" | "&amp;Table!M34&amp;" | "&amp;Table!N34&amp;" | "&amp;Table!O34&amp;" | "&amp;Table!P34&amp;" | "&amp;Table!Q34&amp;" |",CHAR(10)," ")</f>
        <v>| **E** |   |   |   |   |   |   |   | SMB6 dp |   |   |   |   |   |   |   | BBS6 dp,rel8 |</v>
      </c>
    </row>
    <row r="350" spans="1:1" x14ac:dyDescent="0.2">
      <c r="A350" s="5" t="str">
        <f>SUBSTITUTE("| **"&amp;Table!A35&amp;"** | "&amp;Table!B35&amp;" | "&amp;Table!C35&amp;" | "&amp;Table!D35&amp;" | "&amp;Table!E35&amp;" | "&amp;Table!F35&amp;" | "&amp;Table!G35&amp;" | "&amp;Table!H35&amp;" | "&amp;Table!I35&amp;" | "&amp;Table!J35&amp;" | "&amp;Table!K35&amp;" | "&amp;Table!L35&amp;" | "&amp;Table!M35&amp;" | "&amp;Table!N35&amp;" | "&amp;Table!O35&amp;" | "&amp;Table!P35&amp;" | "&amp;Table!Q35&amp;" |",CHAR(10)," ")</f>
        <v>| **F** |   |   |   |   |   |   |   | SMB7 dp |   |   |   |   |   |   |   | BBS7 dp,rel8 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18C3A-BCEC-49DB-8580-0EBEA9FE02FE}">
  <sheetPr codeName="Sheet5"/>
  <dimension ref="A1:D257"/>
  <sheetViews>
    <sheetView workbookViewId="0"/>
  </sheetViews>
  <sheetFormatPr defaultRowHeight="15" x14ac:dyDescent="0.25"/>
  <cols>
    <col min="1" max="1" width="19.42578125" style="18" bestFit="1" customWidth="1"/>
    <col min="2" max="2" width="40" style="19" bestFit="1" customWidth="1"/>
    <col min="3" max="3" width="55.5703125" style="20" customWidth="1"/>
    <col min="4" max="4" width="180.85546875" style="19" bestFit="1" customWidth="1"/>
    <col min="5" max="16384" width="9.140625" style="18"/>
  </cols>
  <sheetData>
    <row r="1" spans="1:4" x14ac:dyDescent="0.25">
      <c r="A1" s="18" t="s">
        <v>262</v>
      </c>
      <c r="B1" s="19" t="s">
        <v>62</v>
      </c>
      <c r="C1" s="20" t="s">
        <v>189</v>
      </c>
      <c r="D1" s="19" t="s">
        <v>190</v>
      </c>
    </row>
    <row r="2" spans="1:4" ht="78.75" x14ac:dyDescent="0.25">
      <c r="A2" s="18" t="str">
        <f>"op"&amp;"_"&amp;OpCode!C2&amp;ConvertFormat2(OpCode!D2)</f>
        <v>op_BRK</v>
      </c>
      <c r="B2" s="19" t="str">
        <f>"procedure TCPU_6502."&amp;$A2&amp;";"</f>
        <v>procedure TCPU_6502.op_BRK;</v>
      </c>
      <c r="C2" s="20" t="str">
        <f>$B2&amp;CHAR(10)&amp;ConvertCode(OpCode!K2,OpCode!I2,OpCode!H2,"")</f>
        <v>procedure TCPU_6502.op_BRK;
begin
  special;
  F[Flag_d]:= false;
  F[Flag_i]:= true;
  inc(cycles, 7);
end;</v>
      </c>
      <c r="D2" s="19" t="str">
        <f>IF(OpCode!B2="Y","(*U*)","(* *)")&amp;
" with OpCodes[$"&amp;OpCode!A2&amp;"] do begin" &amp;
" code:= @"&amp;A2&amp;";"&amp;
" inst:= '"&amp;OpCode!C2&amp;"';"&amp;
" fmt:= '"&amp;OpCode!C2&amp;IF(OpCode!D2&lt;&gt;"","'+#9+'"&amp;convertFormat(OpCode!D2),"")&amp;"'"&amp;";"&amp;
" group:= Egroup."&amp;OpCode!E2&amp;";"&amp;
" mode:= Emode."&amp;OpCode!F2&amp;";"&amp;
" len:= "&amp;OpCode!G2&amp;";"&amp;
" cycle:= ["&amp;SUBSTITUTE(OpCode!H2,"|",",")&amp;"];"&amp;
" end;"</f>
        <v>(* *) with OpCodes[$00] do begin code:= @op_BRK; inst:= 'BRK'; fmt:= 'BRK'; group:= Egroup.control; mode:= Emode.imm; len:= 2; cycle:= [7]; end;</v>
      </c>
    </row>
    <row r="3" spans="1:4" ht="78.75" x14ac:dyDescent="0.25">
      <c r="A3" s="18" t="str">
        <f>"op"&amp;"_"&amp;OpCode!C3&amp;ConvertFormat2(OpCode!D3)</f>
        <v>op_ORA_dp_idX_ind</v>
      </c>
      <c r="B3" s="19" t="str">
        <f t="shared" ref="B3:B66" si="0">"procedure TCPU_6502."&amp;$A3&amp;";"</f>
        <v>procedure TCPU_6502.op_ORA_dp_idX_ind;</v>
      </c>
      <c r="C3" s="20" t="str">
        <f>$B3&amp;CHAR(10)&amp;ConvertCode(OpCode!K3,OpCode!I3,OpCode!H3,"")</f>
        <v>procedure TCPU_6502.op_ORA_dp_idX_ind;
var 
  t: iSize8;
  MA: iSize16;
  MV: iSize8;
  b1: iSize8;
begin
  b1:= ReadMem(PC);
  PC:= (PC+1) and $FFFF;
  MA:= ((b1 + X) and $FFFF);
  MA:= ReadMem(MA)+256*ReadMem((MA+1) and $FFFF);
  MV:= ReadMem(MA);
  t:= A or MV;
  A:= (t and $FF);
  F[Flag_Z]:= (t = 0);
  F[Flag_N]:= (t and $80) = $80;
  inc(cycles, 6);
end;</v>
      </c>
      <c r="D3" s="19" t="str">
        <f>IF(OpCode!B3="Y","(*U*)","(* *)")&amp;
" with OpCodes[$"&amp;OpCode!A3&amp;"] do begin" &amp;
" code:= @"&amp;A3&amp;";"&amp;
" inst:= '"&amp;OpCode!C3&amp;"';"&amp;
" fmt:= '"&amp;OpCode!C3&amp;IF(OpCode!D3&lt;&gt;"","'+#9+'"&amp;convertFormat(OpCode!D3),"")&amp;"'"&amp;";"&amp;
" group:= Egroup."&amp;OpCode!E3&amp;";"&amp;
" mode:= Emode."&amp;OpCode!F3&amp;";"&amp;
" len:= "&amp;OpCode!G3&amp;";"&amp;
" cycle:= ["&amp;SUBSTITUTE(OpCode!H3,"|",",")&amp;"];"&amp;
" end;"</f>
        <v>(* *) with OpCodes[$01] do begin code:= @op_ORA_dp_idX_ind; inst:= 'ORA'; fmt:= 'ORA'+#9+'($%.2x,X)'; group:= Egroup.logic; mode:= Emode.dp_idx_ind; len:= 2; cycle:= [6]; end;</v>
      </c>
    </row>
    <row r="4" spans="1:4" ht="78.75" x14ac:dyDescent="0.25">
      <c r="A4" s="18" t="str">
        <f>"op"&amp;"_"&amp;OpCode!C4&amp;ConvertFormat2(OpCode!D4)</f>
        <v>op_NOP</v>
      </c>
      <c r="B4" s="19" t="str">
        <f t="shared" si="0"/>
        <v>procedure TCPU_6502.op_NOP;</v>
      </c>
      <c r="C4" s="20" t="str">
        <f>$B4&amp;CHAR(10)&amp;ConvertCode(OpCode!K4,OpCode!I4,OpCode!H4,"")</f>
        <v>procedure TCPU_6502.op_NOP;
begin
  No operation;
  inc(cycles, 2);
end;</v>
      </c>
      <c r="D4" s="19" t="str">
        <f>IF(OpCode!B4="Y","(*U*)","(* *)")&amp;
" with OpCodes[$"&amp;OpCode!A4&amp;"] do begin" &amp;
" code:= @"&amp;A4&amp;";"&amp;
" inst:= '"&amp;OpCode!C4&amp;"';"&amp;
" fmt:= '"&amp;OpCode!C4&amp;IF(OpCode!D4&lt;&gt;"","'+#9+'"&amp;convertFormat(OpCode!D4),"")&amp;"'"&amp;";"&amp;
" group:= Egroup."&amp;OpCode!E4&amp;";"&amp;
" mode:= Emode."&amp;OpCode!F4&amp;";"&amp;
" len:= "&amp;OpCode!G4&amp;";"&amp;
" cycle:= ["&amp;SUBSTITUTE(OpCode!H4,"|",",")&amp;"];"&amp;
" end;"</f>
        <v>(* *) with OpCodes[$02] do begin code:= @op_NOP; inst:= 'NOP'; fmt:= 'NOP'; group:= Egroup.control; mode:= Emode.imp; len:= 1; cycle:= [2]; end;</v>
      </c>
    </row>
    <row r="5" spans="1:4" ht="78.75" x14ac:dyDescent="0.25">
      <c r="A5" s="18" t="str">
        <f>"op"&amp;"_"&amp;OpCode!C5&amp;ConvertFormat2(OpCode!D5)</f>
        <v>op_NOP</v>
      </c>
      <c r="B5" s="19" t="str">
        <f t="shared" si="0"/>
        <v>procedure TCPU_6502.op_NOP;</v>
      </c>
      <c r="C5" s="20" t="str">
        <f>$B5&amp;CHAR(10)&amp;ConvertCode(OpCode!K5,OpCode!I5,OpCode!H5,"")</f>
        <v>procedure TCPU_6502.op_NOP;
begin
  No operation;
  inc(cycles, 2);
end;</v>
      </c>
      <c r="D5" s="19" t="str">
        <f>IF(OpCode!B5="Y","(*U*)","(* *)")&amp;
" with OpCodes[$"&amp;OpCode!A5&amp;"] do begin" &amp;
" code:= @"&amp;A5&amp;";"&amp;
" inst:= '"&amp;OpCode!C5&amp;"';"&amp;
" fmt:= '"&amp;OpCode!C5&amp;IF(OpCode!D5&lt;&gt;"","'+#9+'"&amp;convertFormat(OpCode!D5),"")&amp;"'"&amp;";"&amp;
" group:= Egroup."&amp;OpCode!E5&amp;";"&amp;
" mode:= Emode."&amp;OpCode!F5&amp;";"&amp;
" len:= "&amp;OpCode!G5&amp;";"&amp;
" cycle:= ["&amp;SUBSTITUTE(OpCode!H5,"|",",")&amp;"];"&amp;
" end;"</f>
        <v>(* *) with OpCodes[$03] do begin code:= @op_NOP; inst:= 'NOP'; fmt:= 'NOP'; group:= Egroup.control; mode:= Emode.imp; len:= 1; cycle:= [2]; end;</v>
      </c>
    </row>
    <row r="6" spans="1:4" ht="78.75" x14ac:dyDescent="0.25">
      <c r="A6" s="18" t="str">
        <f>"op"&amp;"_"&amp;OpCode!C6&amp;ConvertFormat2(OpCode!D6)</f>
        <v>op_TSB_dp</v>
      </c>
      <c r="B6" s="19" t="str">
        <f t="shared" si="0"/>
        <v>procedure TCPU_6502.op_TSB_dp;</v>
      </c>
      <c r="C6" s="20" t="str">
        <f>$B6&amp;CHAR(10)&amp;ConvertCode(OpCode!K6,OpCode!I6,OpCode!H6,"")</f>
        <v>procedure TCPU_6502.op_TSB_dp;
begin
  Test Set Bit;
  F[Flag_Z]:= (t = 0);
  inc(cycles, 5);
end;</v>
      </c>
      <c r="D6" s="19" t="str">
        <f>IF(OpCode!B6="Y","(*U*)","(* *)")&amp;
" with OpCodes[$"&amp;OpCode!A6&amp;"] do begin" &amp;
" code:= @"&amp;A6&amp;";"&amp;
" inst:= '"&amp;OpCode!C6&amp;"';"&amp;
" fmt:= '"&amp;OpCode!C6&amp;IF(OpCode!D6&lt;&gt;"","'+#9+'"&amp;convertFormat(OpCode!D6),"")&amp;"'"&amp;";"&amp;
" group:= Egroup."&amp;OpCode!E6&amp;";"&amp;
" mode:= Emode."&amp;OpCode!F6&amp;";"&amp;
" len:= "&amp;OpCode!G6&amp;";"&amp;
" cycle:= ["&amp;SUBSTITUTE(OpCode!H6,"|",",")&amp;"];"&amp;
" end;"</f>
        <v>(* *) with OpCodes[$04] do begin code:= @op_TSB_dp; inst:= 'TSB'; fmt:= 'TSB'+#9+'$%.2x'; group:= Egroup.logic; mode:= Emode.dp; len:= 2; cycle:= [5]; end;</v>
      </c>
    </row>
    <row r="7" spans="1:4" ht="78.75" x14ac:dyDescent="0.25">
      <c r="A7" s="18" t="str">
        <f>"op"&amp;"_"&amp;OpCode!C7&amp;ConvertFormat2(OpCode!D7)</f>
        <v>op_ORA_dp</v>
      </c>
      <c r="B7" s="19" t="str">
        <f t="shared" si="0"/>
        <v>procedure TCPU_6502.op_ORA_dp;</v>
      </c>
      <c r="C7" s="20" t="str">
        <f>$B7&amp;CHAR(10)&amp;ConvertCode(OpCode!K7,OpCode!I7,OpCode!H7,"")</f>
        <v>procedure TCPU_6502.op_ORA_dp;
var 
  t: iSize8;
  MA: iSize16;
  MV: iSize8;
  b1: iSize8;
begin
  b1:= ReadMem(PC);
  PC:= (PC+1) and $FFFF;
  MA:= b1;
  MV:= ReadMem(MA);
  t:= A or MV;
  A:= (t and $FF);
  F[Flag_Z]:= (t = 0);
  F[Flag_N]:= (t and $80) = $80;
  inc(cycles, 3);
end;</v>
      </c>
      <c r="D7" s="19" t="str">
        <f>IF(OpCode!B7="Y","(*U*)","(* *)")&amp;
" with OpCodes[$"&amp;OpCode!A7&amp;"] do begin" &amp;
" code:= @"&amp;A7&amp;";"&amp;
" inst:= '"&amp;OpCode!C7&amp;"';"&amp;
" fmt:= '"&amp;OpCode!C7&amp;IF(OpCode!D7&lt;&gt;"","'+#9+'"&amp;convertFormat(OpCode!D7),"")&amp;"'"&amp;";"&amp;
" group:= Egroup."&amp;OpCode!E7&amp;";"&amp;
" mode:= Emode."&amp;OpCode!F7&amp;";"&amp;
" len:= "&amp;OpCode!G7&amp;";"&amp;
" cycle:= ["&amp;SUBSTITUTE(OpCode!H7,"|",",")&amp;"];"&amp;
" end;"</f>
        <v>(* *) with OpCodes[$05] do begin code:= @op_ORA_dp; inst:= 'ORA'; fmt:= 'ORA'+#9+'$%.2x'; group:= Egroup.logic; mode:= Emode.dp; len:= 2; cycle:= [3]; end;</v>
      </c>
    </row>
    <row r="8" spans="1:4" ht="78.75" x14ac:dyDescent="0.25">
      <c r="A8" s="18" t="str">
        <f>"op"&amp;"_"&amp;OpCode!C8&amp;ConvertFormat2(OpCode!D8)</f>
        <v>op_ASL_dp</v>
      </c>
      <c r="B8" s="19" t="str">
        <f t="shared" si="0"/>
        <v>procedure TCPU_6502.op_ASL_dp;</v>
      </c>
      <c r="C8" s="20" t="str">
        <f>$B8&amp;CHAR(10)&amp;ConvertCode(OpCode!K8,OpCode!I8,OpCode!H8,"")</f>
        <v>procedure TCPU_6502.op_ASL_dp;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8" s="19" t="str">
        <f>IF(OpCode!B8="Y","(*U*)","(* *)")&amp;
" with OpCodes[$"&amp;OpCode!A8&amp;"] do begin" &amp;
" code:= @"&amp;A8&amp;";"&amp;
" inst:= '"&amp;OpCode!C8&amp;"';"&amp;
" fmt:= '"&amp;OpCode!C8&amp;IF(OpCode!D8&lt;&gt;"","'+#9+'"&amp;convertFormat(OpCode!D8),"")&amp;"'"&amp;";"&amp;
" group:= Egroup."&amp;OpCode!E8&amp;";"&amp;
" mode:= Emode."&amp;OpCode!F8&amp;";"&amp;
" len:= "&amp;OpCode!G8&amp;";"&amp;
" cycle:= ["&amp;SUBSTITUTE(OpCode!H8,"|",",")&amp;"];"&amp;
" end;"</f>
        <v>(* *) with OpCodes[$06] do begin code:= @op_ASL_dp; inst:= 'ASL'; fmt:= 'ASL'+#9+'$%.2x'; group:= Egroup.logic; mode:= Emode.dp; len:= 2; cycle:= [5]; end;</v>
      </c>
    </row>
    <row r="9" spans="1:4" ht="78.75" x14ac:dyDescent="0.25">
      <c r="A9" s="18" t="str">
        <f>"op"&amp;"_"&amp;OpCode!C9&amp;ConvertFormat2(OpCode!D9)</f>
        <v>op_RMB0_dp</v>
      </c>
      <c r="B9" s="19" t="str">
        <f t="shared" si="0"/>
        <v>procedure TCPU_6502.op_RMB0_dp;</v>
      </c>
      <c r="C9" s="20" t="str">
        <f>$B9&amp;CHAR(10)&amp;ConvertCode(OpCode!K9,OpCode!I9,OpCode!H9,"")</f>
        <v>procedure TCPU_6502.op_RMB0_dp;
begin
  Reset Memory Bit. Resets a specific bit of a byte held on zero page.;
  F[Flag_Z]:= (t = 0);
  inc(cycles, 5);
end;</v>
      </c>
      <c r="D9" s="19" t="str">
        <f>IF(OpCode!B9="Y","(*U*)","(* *)")&amp;
" with OpCodes[$"&amp;OpCode!A9&amp;"] do begin" &amp;
" code:= @"&amp;A9&amp;";"&amp;
" inst:= '"&amp;OpCode!C9&amp;"';"&amp;
" fmt:= '"&amp;OpCode!C9&amp;IF(OpCode!D9&lt;&gt;"","'+#9+'"&amp;convertFormat(OpCode!D9),"")&amp;"'"&amp;";"&amp;
" group:= Egroup."&amp;OpCode!E9&amp;";"&amp;
" mode:= Emode."&amp;OpCode!F9&amp;";"&amp;
" len:= "&amp;OpCode!G9&amp;";"&amp;
" cycle:= ["&amp;SUBSTITUTE(OpCode!H9,"|",",")&amp;"];"&amp;
" end;"</f>
        <v>(* *) with OpCodes[$07] do begin code:= @op_RMB0_dp; inst:= 'RMB0'; fmt:= 'RMB0'+#9+'$%.2x'; group:= Egroup.logic; mode:= Emode.dp; len:= 2; cycle:= [5]; end;</v>
      </c>
    </row>
    <row r="10" spans="1:4" ht="78.75" x14ac:dyDescent="0.25">
      <c r="A10" s="18" t="str">
        <f>"op"&amp;"_"&amp;OpCode!C10&amp;ConvertFormat2(OpCode!D10)</f>
        <v>op_PHP</v>
      </c>
      <c r="B10" s="19" t="str">
        <f t="shared" si="0"/>
        <v>procedure TCPU_6502.op_PHP;</v>
      </c>
      <c r="C10" s="20" t="str">
        <f>$B10&amp;CHAR(10)&amp;ConvertCode(OpCode!K10,OpCode!I10,OpCode!H10,"")</f>
        <v>procedure TCPU_6502.op_PHP;
begin
  SP:= (SP - 1) and $FF; 
  WriteMem($100+SP, P);
  inc(cycles, 3);
end;</v>
      </c>
      <c r="D10" s="19" t="str">
        <f>IF(OpCode!B10="Y","(*U*)","(* *)")&amp;
" with OpCodes[$"&amp;OpCode!A10&amp;"] do begin" &amp;
" code:= @"&amp;A10&amp;";"&amp;
" inst:= '"&amp;OpCode!C10&amp;"';"&amp;
" fmt:= '"&amp;OpCode!C10&amp;IF(OpCode!D10&lt;&gt;"","'+#9+'"&amp;convertFormat(OpCode!D10),"")&amp;"'"&amp;";"&amp;
" group:= Egroup."&amp;OpCode!E10&amp;";"&amp;
" mode:= Emode."&amp;OpCode!F10&amp;";"&amp;
" len:= "&amp;OpCode!G10&amp;";"&amp;
" cycle:= ["&amp;SUBSTITUTE(OpCode!H10,"|",",")&amp;"];"&amp;
" end;"</f>
        <v>(* *) with OpCodes[$08] do begin code:= @op_PHP; inst:= 'PHP'; fmt:= 'PHP'; group:= Egroup.stack; mode:= Emode.imp; len:= 1; cycle:= [3]; end;</v>
      </c>
    </row>
    <row r="11" spans="1:4" ht="78.75" x14ac:dyDescent="0.25">
      <c r="A11" s="18" t="str">
        <f>"op"&amp;"_"&amp;OpCode!C11&amp;ConvertFormat2(OpCode!D11)</f>
        <v>op_ORA_imm</v>
      </c>
      <c r="B11" s="19" t="str">
        <f t="shared" si="0"/>
        <v>procedure TCPU_6502.op_ORA_imm;</v>
      </c>
      <c r="C11" s="20" t="str">
        <f>$B11&amp;CHAR(10)&amp;ConvertCode(OpCode!K11,OpCode!I11,OpCode!H11,"")</f>
        <v>procedure TCPU_6502.op_ORA_imm;
var 
  t: iSize8;
  b1: iSize8;
begin
  b1:= ReadMem(PC);
  PC:= (PC+1) and $FFFF;
  t:= A or b1;
  A:= (t and $FF);
  F[Flag_Z]:= (t = 0);
  F[Flag_N]:= (t and $80) = $80;
  inc(cycles, 2);
end;</v>
      </c>
      <c r="D11" s="19" t="str">
        <f>IF(OpCode!B11="Y","(*U*)","(* *)")&amp;
" with OpCodes[$"&amp;OpCode!A11&amp;"] do begin" &amp;
" code:= @"&amp;A11&amp;";"&amp;
" inst:= '"&amp;OpCode!C11&amp;"';"&amp;
" fmt:= '"&amp;OpCode!C11&amp;IF(OpCode!D11&lt;&gt;"","'+#9+'"&amp;convertFormat(OpCode!D11),"")&amp;"'"&amp;";"&amp;
" group:= Egroup."&amp;OpCode!E11&amp;";"&amp;
" mode:= Emode."&amp;OpCode!F11&amp;";"&amp;
" len:= "&amp;OpCode!G11&amp;";"&amp;
" cycle:= ["&amp;SUBSTITUTE(OpCode!H11,"|",",")&amp;"];"&amp;
" end;"</f>
        <v>(* *) with OpCodes[$09] do begin code:= @op_ORA_imm; inst:= 'ORA'; fmt:= 'ORA'+#9+'#%.2x'; group:= Egroup.logic; mode:= Emode.imm; len:= 2; cycle:= [2]; end;</v>
      </c>
    </row>
    <row r="12" spans="1:4" ht="78.75" x14ac:dyDescent="0.25">
      <c r="A12" s="18" t="str">
        <f>"op"&amp;"_"&amp;OpCode!C12&amp;ConvertFormat2(OpCode!D12)</f>
        <v>op_ASL_A</v>
      </c>
      <c r="B12" s="19" t="str">
        <f t="shared" si="0"/>
        <v>procedure TCPU_6502.op_ASL_A;</v>
      </c>
      <c r="C12" s="20" t="str">
        <f>$B12&amp;CHAR(10)&amp;ConvertCode(OpCode!K12,OpCode!I12,OpCode!H12,"")</f>
        <v>procedure TCPU_6502.op_ASL_A;
var 
  t: iSize8;
begin
  t:= A  shl  1;
  A:= (t and $FF);
  F[Flag_Z]:= (t = 0);
  F[Flag_N]:= (t and $80) = $80;
  F[Flag_C]:= (t and $100) = $100;  
  inc(cycles, 2);
end;</v>
      </c>
      <c r="D12" s="19" t="str">
        <f>IF(OpCode!B12="Y","(*U*)","(* *)")&amp;
" with OpCodes[$"&amp;OpCode!A12&amp;"] do begin" &amp;
" code:= @"&amp;A12&amp;";"&amp;
" inst:= '"&amp;OpCode!C12&amp;"';"&amp;
" fmt:= '"&amp;OpCode!C12&amp;IF(OpCode!D12&lt;&gt;"","'+#9+'"&amp;convertFormat(OpCode!D12),"")&amp;"'"&amp;";"&amp;
" group:= Egroup."&amp;OpCode!E12&amp;";"&amp;
" mode:= Emode."&amp;OpCode!F12&amp;";"&amp;
" len:= "&amp;OpCode!G12&amp;";"&amp;
" cycle:= ["&amp;SUBSTITUTE(OpCode!H12,"|",",")&amp;"];"&amp;
" end;"</f>
        <v>(* *) with OpCodes[$0A] do begin code:= @op_ASL_A; inst:= 'ASL'; fmt:= 'ASL'+#9+'A'; group:= Egroup.logic; mode:= Emode.imp; len:= 1; cycle:= [2]; end;</v>
      </c>
    </row>
    <row r="13" spans="1:4" ht="78.75" x14ac:dyDescent="0.25">
      <c r="A13" s="18" t="str">
        <f>"op"&amp;"_"&amp;OpCode!C13&amp;ConvertFormat2(OpCode!D13)</f>
        <v>op_NOP</v>
      </c>
      <c r="B13" s="19" t="str">
        <f t="shared" si="0"/>
        <v>procedure TCPU_6502.op_NOP;</v>
      </c>
      <c r="C13" s="20" t="str">
        <f>$B13&amp;CHAR(10)&amp;ConvertCode(OpCode!K13,OpCode!I13,OpCode!H13,"")</f>
        <v>procedure TCPU_6502.op_NOP;
begin
  No operation;
  inc(cycles, 2);
end;</v>
      </c>
      <c r="D13" s="19" t="str">
        <f>IF(OpCode!B13="Y","(*U*)","(* *)")&amp;
" with OpCodes[$"&amp;OpCode!A13&amp;"] do begin" &amp;
" code:= @"&amp;A13&amp;";"&amp;
" inst:= '"&amp;OpCode!C13&amp;"';"&amp;
" fmt:= '"&amp;OpCode!C13&amp;IF(OpCode!D13&lt;&gt;"","'+#9+'"&amp;convertFormat(OpCode!D13),"")&amp;"'"&amp;";"&amp;
" group:= Egroup."&amp;OpCode!E13&amp;";"&amp;
" mode:= Emode."&amp;OpCode!F13&amp;";"&amp;
" len:= "&amp;OpCode!G13&amp;";"&amp;
" cycle:= ["&amp;SUBSTITUTE(OpCode!H13,"|",",")&amp;"];"&amp;
" end;"</f>
        <v>(* *) with OpCodes[$0B] do begin code:= @op_NOP; inst:= 'NOP'; fmt:= 'NOP'; group:= Egroup.control; mode:= Emode.imp; len:= 1; cycle:= [2]; end;</v>
      </c>
    </row>
    <row r="14" spans="1:4" ht="78.75" x14ac:dyDescent="0.25">
      <c r="A14" s="18" t="str">
        <f>"op"&amp;"_"&amp;OpCode!C14&amp;ConvertFormat2(OpCode!D14)</f>
        <v>op_TSB_abs</v>
      </c>
      <c r="B14" s="19" t="str">
        <f t="shared" si="0"/>
        <v>procedure TCPU_6502.op_TSB_abs;</v>
      </c>
      <c r="C14" s="20" t="str">
        <f>$B14&amp;CHAR(10)&amp;ConvertCode(OpCode!K14,OpCode!I14,OpCode!H14,"")</f>
        <v>procedure TCPU_6502.op_TSB_abs;
begin
  Test Set Bit;
  F[Flag_Z]:= (t = 0);
  inc(cycles, 6);
end;</v>
      </c>
      <c r="D14" s="19" t="str">
        <f>IF(OpCode!B14="Y","(*U*)","(* *)")&amp;
" with OpCodes[$"&amp;OpCode!A14&amp;"] do begin" &amp;
" code:= @"&amp;A14&amp;";"&amp;
" inst:= '"&amp;OpCode!C14&amp;"';"&amp;
" fmt:= '"&amp;OpCode!C14&amp;IF(OpCode!D14&lt;&gt;"","'+#9+'"&amp;convertFormat(OpCode!D14),"")&amp;"'"&amp;";"&amp;
" group:= Egroup."&amp;OpCode!E14&amp;";"&amp;
" mode:= Emode."&amp;OpCode!F14&amp;";"&amp;
" len:= "&amp;OpCode!G14&amp;";"&amp;
" cycle:= ["&amp;SUBSTITUTE(OpCode!H14,"|",",")&amp;"];"&amp;
" end;"</f>
        <v>(* *) with OpCodes[$0C] do begin code:= @op_TSB_abs; inst:= 'TSB'; fmt:= 'TSB'+#9+'$%.4x'; group:= Egroup.logic; mode:= Emode.abs; len:= 3; cycle:= [6]; end;</v>
      </c>
    </row>
    <row r="15" spans="1:4" ht="78.75" x14ac:dyDescent="0.25">
      <c r="A15" s="18" t="str">
        <f>"op"&amp;"_"&amp;OpCode!C15&amp;ConvertFormat2(OpCode!D15)</f>
        <v>op_ORA_abs</v>
      </c>
      <c r="B15" s="19" t="str">
        <f t="shared" si="0"/>
        <v>procedure TCPU_6502.op_ORA_abs;</v>
      </c>
      <c r="C15" s="20" t="str">
        <f>$B15&amp;CHAR(10)&amp;ConvertCode(OpCode!K15,OpCode!I15,OpCode!H15,"")</f>
        <v>procedure TCPU_6502.op_ORA_abs;
var 
  t: iSize8;
  MA: iSize16;
  MV: iSize8;
  b1: iSize8;
  b2: iSize8;
begin
  b1:= ReadMem(PC);
  PC:= (PC+1) and $FFFF;
  b2:= ReadMem(PC);
  PC:= (PC+1) and $FFFF;
  MA:= b1 + b2 shl 8;
  MV:= ReadMem(MA);
  t:= A or MV;
  A:= (t and $FF);
  F[Flag_Z]:= (t = 0);
  F[Flag_N]:= (t and $80) = $80;
  inc(cycles, 4);
end;</v>
      </c>
      <c r="D15" s="19" t="str">
        <f>IF(OpCode!B15="Y","(*U*)","(* *)")&amp;
" with OpCodes[$"&amp;OpCode!A15&amp;"] do begin" &amp;
" code:= @"&amp;A15&amp;";"&amp;
" inst:= '"&amp;OpCode!C15&amp;"';"&amp;
" fmt:= '"&amp;OpCode!C15&amp;IF(OpCode!D15&lt;&gt;"","'+#9+'"&amp;convertFormat(OpCode!D15),"")&amp;"'"&amp;";"&amp;
" group:= Egroup."&amp;OpCode!E15&amp;";"&amp;
" mode:= Emode."&amp;OpCode!F15&amp;";"&amp;
" len:= "&amp;OpCode!G15&amp;";"&amp;
" cycle:= ["&amp;SUBSTITUTE(OpCode!H15,"|",",")&amp;"];"&amp;
" end;"</f>
        <v>(* *) with OpCodes[$0D] do begin code:= @op_ORA_abs; inst:= 'ORA'; fmt:= 'ORA'+#9+'$%.4x'; group:= Egroup.logic; mode:= Emode.abs; len:= 3; cycle:= [4]; end;</v>
      </c>
    </row>
    <row r="16" spans="1:4" ht="78.75" x14ac:dyDescent="0.25">
      <c r="A16" s="18" t="str">
        <f>"op"&amp;"_"&amp;OpCode!C16&amp;ConvertFormat2(OpCode!D16)</f>
        <v>op_ASL_abs</v>
      </c>
      <c r="B16" s="19" t="str">
        <f t="shared" si="0"/>
        <v>procedure TCPU_6502.op_ASL_abs;</v>
      </c>
      <c r="C16" s="20" t="str">
        <f>$B16&amp;CHAR(10)&amp;ConvertCode(OpCode!K16,OpCode!I16,OpCode!H16,"")</f>
        <v>procedure TCPU_6502.op_ASL_abs;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16" s="19" t="str">
        <f>IF(OpCode!B16="Y","(*U*)","(* *)")&amp;
" with OpCodes[$"&amp;OpCode!A16&amp;"] do begin" &amp;
" code:= @"&amp;A16&amp;";"&amp;
" inst:= '"&amp;OpCode!C16&amp;"';"&amp;
" fmt:= '"&amp;OpCode!C16&amp;IF(OpCode!D16&lt;&gt;"","'+#9+'"&amp;convertFormat(OpCode!D16),"")&amp;"'"&amp;";"&amp;
" group:= Egroup."&amp;OpCode!E16&amp;";"&amp;
" mode:= Emode."&amp;OpCode!F16&amp;";"&amp;
" len:= "&amp;OpCode!G16&amp;";"&amp;
" cycle:= ["&amp;SUBSTITUTE(OpCode!H16,"|",",")&amp;"];"&amp;
" end;"</f>
        <v>(* *) with OpCodes[$0E] do begin code:= @op_ASL_abs; inst:= 'ASL'; fmt:= 'ASL'+#9+'$%.4x'; group:= Egroup.logic; mode:= Emode.abs; len:= 3; cycle:= [6]; end;</v>
      </c>
    </row>
    <row r="17" spans="1:4" ht="78.75" x14ac:dyDescent="0.25">
      <c r="A17" s="18" t="str">
        <f>"op"&amp;"_"&amp;OpCode!C17&amp;ConvertFormat2(OpCode!D17)</f>
        <v>op_BBR0_dp,rel8</v>
      </c>
      <c r="B17" s="19" t="str">
        <f t="shared" si="0"/>
        <v>procedure TCPU_6502.op_BBR0_dp,rel8;</v>
      </c>
      <c r="C17" s="20" t="str">
        <f>$B17&amp;CHAR(10)&amp;ConvertCode(OpCode!K17,OpCode!I17,OpCode!H17,"")</f>
        <v>procedure TCPU_6502.op_BBR0_dp,rel8;
begin
  Branch on Bit Reset. Tests a specific bit of a byte held on zero page and causes a branch of the bit is resest (0);
  inc(cycles, 2|3);
end;</v>
      </c>
      <c r="D17" s="19" t="str">
        <f>IF(OpCode!B17="Y","(*U*)","(* *)")&amp;
" with OpCodes[$"&amp;OpCode!A17&amp;"] do begin" &amp;
" code:= @"&amp;A17&amp;";"&amp;
" inst:= '"&amp;OpCode!C17&amp;"';"&amp;
" fmt:= '"&amp;OpCode!C17&amp;IF(OpCode!D17&lt;&gt;"","'+#9+'"&amp;convertFormat(OpCode!D17),"")&amp;"'"&amp;";"&amp;
" group:= Egroup."&amp;OpCode!E17&amp;";"&amp;
" mode:= Emode."&amp;OpCode!F17&amp;";"&amp;
" len:= "&amp;OpCode!G17&amp;";"&amp;
" cycle:= ["&amp;SUBSTITUTE(OpCode!H17,"|",",")&amp;"];"&amp;
" end;"</f>
        <v>(* *) with OpCodes[$0F] do begin code:= @op_BBR0_dp,rel8; inst:= 'BBR0'; fmt:= 'BBR0'+#9+'$%.2x,%d'; group:= Egroup.branch; mode:= Emode.dp_rel; len:= 3; cycle:= [2,3]; end;</v>
      </c>
    </row>
    <row r="18" spans="1:4" ht="78.75" x14ac:dyDescent="0.25">
      <c r="A18" s="18" t="str">
        <f>"op"&amp;"_"&amp;OpCode!C18&amp;ConvertFormat2(OpCode!D18)</f>
        <v>op_BPL_rel8</v>
      </c>
      <c r="B18" s="19" t="str">
        <f t="shared" si="0"/>
        <v>procedure TCPU_6502.op_BPL_rel8;</v>
      </c>
      <c r="C18" s="20" t="str">
        <f>$B18&amp;CHAR(10)&amp;ConvertCode(OpCode!K18,OpCode!I18,OpCode!H18,"")</f>
        <v>procedure TCPU_6502.op_BPL_rel8;
var 
  b1: iSize8;
begin
  b1:= ReadMem(PC);
  PC:= (PC+1) and $FFFF;
  if not N  then PC:= ((PC + b1) and $FF);
  inc(cycles, 2|3);
end;</v>
      </c>
      <c r="D18" s="19" t="str">
        <f>IF(OpCode!B18="Y","(*U*)","(* *)")&amp;
" with OpCodes[$"&amp;OpCode!A18&amp;"] do begin" &amp;
" code:= @"&amp;A18&amp;";"&amp;
" inst:= '"&amp;OpCode!C18&amp;"';"&amp;
" fmt:= '"&amp;OpCode!C18&amp;IF(OpCode!D18&lt;&gt;"","'+#9+'"&amp;convertFormat(OpCode!D18),"")&amp;"'"&amp;";"&amp;
" group:= Egroup."&amp;OpCode!E18&amp;";"&amp;
" mode:= Emode."&amp;OpCode!F18&amp;";"&amp;
" len:= "&amp;OpCode!G18&amp;";"&amp;
" cycle:= ["&amp;SUBSTITUTE(OpCode!H18,"|",",")&amp;"];"&amp;
" end;"</f>
        <v>(* *) with OpCodes[$10] do begin code:= @op_BPL_rel8; inst:= 'BPL'; fmt:= 'BPL'+#9+'%d'; group:= Egroup.branch; mode:= Emode.rel; len:= 2; cycle:= [2,3]; end;</v>
      </c>
    </row>
    <row r="19" spans="1:4" ht="78.75" x14ac:dyDescent="0.25">
      <c r="A19" s="18" t="str">
        <f>"op"&amp;"_"&amp;OpCode!C19&amp;ConvertFormat2(OpCode!D19)</f>
        <v>op_ORA_dp_ind_idY</v>
      </c>
      <c r="B19" s="19" t="str">
        <f t="shared" si="0"/>
        <v>procedure TCPU_6502.op_ORA_dp_ind_idY;</v>
      </c>
      <c r="C19" s="20" t="str">
        <f>$B19&amp;CHAR(10)&amp;ConvertCode(OpCode!K19,OpCode!I19,OpCode!H19,"")</f>
        <v>procedure TCPU_6502.op_ORA_dp_ind_idY;
var 
  t: iSize8;
  MA: iSize16;
  MV: iSize8;
  b1: iSize8;
begin
  b1:= ReadMem(PC);
  PC:= (PC+1) and $FFFF;
  MA:= b1;
  MA:= ReadMem(MA)+256*ReadMem((MA+1) and $FFFF) + Y;
  MV:= ReadMem(MA);
  t:= A or MV;
  A:= (t and $FF);
  F[Flag_Z]:= (t = 0);
  F[Flag_N]:= (t and $80) = $80;
  inc(cycles, 5);
end;</v>
      </c>
      <c r="D19" s="19" t="str">
        <f>IF(OpCode!B19="Y","(*U*)","(* *)")&amp;
" with OpCodes[$"&amp;OpCode!A19&amp;"] do begin" &amp;
" code:= @"&amp;A19&amp;";"&amp;
" inst:= '"&amp;OpCode!C19&amp;"';"&amp;
" fmt:= '"&amp;OpCode!C19&amp;IF(OpCode!D19&lt;&gt;"","'+#9+'"&amp;convertFormat(OpCode!D19),"")&amp;"'"&amp;";"&amp;
" group:= Egroup."&amp;OpCode!E19&amp;";"&amp;
" mode:= Emode."&amp;OpCode!F19&amp;";"&amp;
" len:= "&amp;OpCode!G19&amp;";"&amp;
" cycle:= ["&amp;SUBSTITUTE(OpCode!H19,"|",",")&amp;"];"&amp;
" end;"</f>
        <v>(* *) with OpCodes[$11] do begin code:= @op_ORA_dp_ind_idY; inst:= 'ORA'; fmt:= 'ORA'+#9+'($%.2x),Y'; group:= Egroup.logic; mode:= Emode.dp_ind_idx; len:= 2; cycle:= [5]; end;</v>
      </c>
    </row>
    <row r="20" spans="1:4" ht="78.75" x14ac:dyDescent="0.25">
      <c r="A20" s="18" t="str">
        <f>"op"&amp;"_"&amp;OpCode!C20&amp;ConvertFormat2(OpCode!D20)</f>
        <v>op_ORA_dp_ind</v>
      </c>
      <c r="B20" s="19" t="str">
        <f t="shared" si="0"/>
        <v>procedure TCPU_6502.op_ORA_dp_ind;</v>
      </c>
      <c r="C20" s="20" t="str">
        <f>$B20&amp;CHAR(10)&amp;ConvertCode(OpCode!K20,OpCode!I20,OpCode!H20,"")</f>
        <v>procedure TCPU_6502.op_ORA_dp_ind;
var 
  t: iSize8;
  MA: iSize16;
  MV: iSize8;
  b1: iSize8;
begin
  b1:= ReadMem(PC);
  PC:= (PC+1) and $FFFF;
  MA:= b1;
  MA:= ReadMem(MA)+256*ReadMem((MA+1) and $FFFF);
  MV:= ReadMem(MA);
  t:= A or MV;
  A:= (t and $FF);
  F[Flag_Z]:= (t = 0);
  F[Flag_N]:= (t and $80) = $80;
  inc(cycles, 5);
end;</v>
      </c>
      <c r="D20" s="19" t="str">
        <f>IF(OpCode!B20="Y","(*U*)","(* *)")&amp;
" with OpCodes[$"&amp;OpCode!A20&amp;"] do begin" &amp;
" code:= @"&amp;A20&amp;";"&amp;
" inst:= '"&amp;OpCode!C20&amp;"';"&amp;
" fmt:= '"&amp;OpCode!C20&amp;IF(OpCode!D20&lt;&gt;"","'+#9+'"&amp;convertFormat(OpCode!D20),"")&amp;"'"&amp;";"&amp;
" group:= Egroup."&amp;OpCode!E20&amp;";"&amp;
" mode:= Emode."&amp;OpCode!F20&amp;";"&amp;
" len:= "&amp;OpCode!G20&amp;";"&amp;
" cycle:= ["&amp;SUBSTITUTE(OpCode!H20,"|",",")&amp;"];"&amp;
" end;"</f>
        <v>(* *) with OpCodes[$12] do begin code:= @op_ORA_dp_ind; inst:= 'ORA'; fmt:= 'ORA'+#9+'($%.2x)'; group:= Egroup.logic; mode:= Emode.dp_ind; len:= 2; cycle:= [5]; end;</v>
      </c>
    </row>
    <row r="21" spans="1:4" ht="78.75" x14ac:dyDescent="0.25">
      <c r="A21" s="18" t="str">
        <f>"op"&amp;"_"&amp;OpCode!C21&amp;ConvertFormat2(OpCode!D21)</f>
        <v>op_NOP</v>
      </c>
      <c r="B21" s="19" t="str">
        <f t="shared" si="0"/>
        <v>procedure TCPU_6502.op_NOP;</v>
      </c>
      <c r="C21" s="20" t="str">
        <f>$B21&amp;CHAR(10)&amp;ConvertCode(OpCode!K21,OpCode!I21,OpCode!H21,"")</f>
        <v>procedure TCPU_6502.op_NOP;
begin
  No operation;
  inc(cycles, 2);
end;</v>
      </c>
      <c r="D21" s="19" t="str">
        <f>IF(OpCode!B21="Y","(*U*)","(* *)")&amp;
" with OpCodes[$"&amp;OpCode!A21&amp;"] do begin" &amp;
" code:= @"&amp;A21&amp;";"&amp;
" inst:= '"&amp;OpCode!C21&amp;"';"&amp;
" fmt:= '"&amp;OpCode!C21&amp;IF(OpCode!D21&lt;&gt;"","'+#9+'"&amp;convertFormat(OpCode!D21),"")&amp;"'"&amp;";"&amp;
" group:= Egroup."&amp;OpCode!E21&amp;";"&amp;
" mode:= Emode."&amp;OpCode!F21&amp;";"&amp;
" len:= "&amp;OpCode!G21&amp;";"&amp;
" cycle:= ["&amp;SUBSTITUTE(OpCode!H21,"|",",")&amp;"];"&amp;
" end;"</f>
        <v>(* *) with OpCodes[$13] do begin code:= @op_NOP; inst:= 'NOP'; fmt:= 'NOP'; group:= Egroup.control; mode:= Emode.imp; len:= 1; cycle:= [2]; end;</v>
      </c>
    </row>
    <row r="22" spans="1:4" ht="78.75" x14ac:dyDescent="0.25">
      <c r="A22" s="18" t="str">
        <f>"op"&amp;"_"&amp;OpCode!C22&amp;ConvertFormat2(OpCode!D22)</f>
        <v>op_TRB_dp</v>
      </c>
      <c r="B22" s="19" t="str">
        <f t="shared" si="0"/>
        <v>procedure TCPU_6502.op_TRB_dp;</v>
      </c>
      <c r="C22" s="20" t="str">
        <f>$B22&amp;CHAR(10)&amp;ConvertCode(OpCode!K22,OpCode!I22,OpCode!H22,"")</f>
        <v>procedure TCPU_6502.op_TRB_dp;
begin
  Teset Reset Bit;
  F[Flag_Z]:= (t = 0);
  inc(cycles, 5);
end;</v>
      </c>
      <c r="D22" s="19" t="str">
        <f>IF(OpCode!B22="Y","(*U*)","(* *)")&amp;
" with OpCodes[$"&amp;OpCode!A22&amp;"] do begin" &amp;
" code:= @"&amp;A22&amp;";"&amp;
" inst:= '"&amp;OpCode!C22&amp;"';"&amp;
" fmt:= '"&amp;OpCode!C22&amp;IF(OpCode!D22&lt;&gt;"","'+#9+'"&amp;convertFormat(OpCode!D22),"")&amp;"'"&amp;";"&amp;
" group:= Egroup."&amp;OpCode!E22&amp;";"&amp;
" mode:= Emode."&amp;OpCode!F22&amp;";"&amp;
" len:= "&amp;OpCode!G22&amp;";"&amp;
" cycle:= ["&amp;SUBSTITUTE(OpCode!H22,"|",",")&amp;"];"&amp;
" end;"</f>
        <v>(* *) with OpCodes[$14] do begin code:= @op_TRB_dp; inst:= 'TRB'; fmt:= 'TRB'+#9+'$%.2x'; group:= Egroup.logic; mode:= Emode.dp; len:= 2; cycle:= [5]; end;</v>
      </c>
    </row>
    <row r="23" spans="1:4" ht="78.75" x14ac:dyDescent="0.25">
      <c r="A23" s="18" t="str">
        <f>"op"&amp;"_"&amp;OpCode!C23&amp;ConvertFormat2(OpCode!D23)</f>
        <v>op_ORA_dp_idX</v>
      </c>
      <c r="B23" s="19" t="str">
        <f t="shared" si="0"/>
        <v>procedure TCPU_6502.op_ORA_dp_idX;</v>
      </c>
      <c r="C23" s="20" t="str">
        <f>$B23&amp;CHAR(10)&amp;ConvertCode(OpCode!K23,OpCode!I23,OpCode!H23,"")</f>
        <v>procedure TCPU_6502.op_ORA_dp_idX;
var 
  t: iSize8;
  MA: iSize16;
  MV: iSize8;
  b1: iSize8;
begin
  b1:= ReadMem(PC);
  PC:= (PC+1) and $FFFF;
  MA:= ((b1 + X) and $FFFF);
  MV:= ReadMem(MA);
  t:= A or MV;
  A:= (t and $FF);
  F[Flag_Z]:= (t = 0);
  F[Flag_N]:= (t and $80) = $80;
  inc(cycles, 4);
end;</v>
      </c>
      <c r="D23" s="19" t="str">
        <f>IF(OpCode!B23="Y","(*U*)","(* *)")&amp;
" with OpCodes[$"&amp;OpCode!A23&amp;"] do begin" &amp;
" code:= @"&amp;A23&amp;";"&amp;
" inst:= '"&amp;OpCode!C23&amp;"';"&amp;
" fmt:= '"&amp;OpCode!C23&amp;IF(OpCode!D23&lt;&gt;"","'+#9+'"&amp;convertFormat(OpCode!D23),"")&amp;"'"&amp;";"&amp;
" group:= Egroup."&amp;OpCode!E23&amp;";"&amp;
" mode:= Emode."&amp;OpCode!F23&amp;";"&amp;
" len:= "&amp;OpCode!G23&amp;";"&amp;
" cycle:= ["&amp;SUBSTITUTE(OpCode!H23,"|",",")&amp;"];"&amp;
" end;"</f>
        <v>(* *) with OpCodes[$15] do begin code:= @op_ORA_dp_idX; inst:= 'ORA'; fmt:= 'ORA'+#9+'$%.2x,X'; group:= Egroup.logic; mode:= Emode.dp_idx; len:= 2; cycle:= [4]; end;</v>
      </c>
    </row>
    <row r="24" spans="1:4" ht="78.75" x14ac:dyDescent="0.25">
      <c r="A24" s="18" t="str">
        <f>"op"&amp;"_"&amp;OpCode!C24&amp;ConvertFormat2(OpCode!D24)</f>
        <v>op_ASL_dp_idX</v>
      </c>
      <c r="B24" s="19" t="str">
        <f t="shared" si="0"/>
        <v>procedure TCPU_6502.op_ASL_dp_idX;</v>
      </c>
      <c r="C24" s="20" t="str">
        <f>$B24&amp;CHAR(10)&amp;ConvertCode(OpCode!K24,OpCode!I24,OpCode!H24,"")</f>
        <v>procedure TCPU_6502.op_ASL_dp_idX;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24" s="19" t="str">
        <f>IF(OpCode!B24="Y","(*U*)","(* *)")&amp;
" with OpCodes[$"&amp;OpCode!A24&amp;"] do begin" &amp;
" code:= @"&amp;A24&amp;";"&amp;
" inst:= '"&amp;OpCode!C24&amp;"';"&amp;
" fmt:= '"&amp;OpCode!C24&amp;IF(OpCode!D24&lt;&gt;"","'+#9+'"&amp;convertFormat(OpCode!D24),"")&amp;"'"&amp;";"&amp;
" group:= Egroup."&amp;OpCode!E24&amp;";"&amp;
" mode:= Emode."&amp;OpCode!F24&amp;";"&amp;
" len:= "&amp;OpCode!G24&amp;";"&amp;
" cycle:= ["&amp;SUBSTITUTE(OpCode!H24,"|",",")&amp;"];"&amp;
" end;"</f>
        <v>(* *) with OpCodes[$16] do begin code:= @op_ASL_dp_idX; inst:= 'ASL'; fmt:= 'ASL'+#9+'$%.2x,X'; group:= Egroup.logic; mode:= Emode.dp_idx; len:= 2; cycle:= [6]; end;</v>
      </c>
    </row>
    <row r="25" spans="1:4" ht="78.75" x14ac:dyDescent="0.25">
      <c r="A25" s="18" t="str">
        <f>"op"&amp;"_"&amp;OpCode!C25&amp;ConvertFormat2(OpCode!D25)</f>
        <v>op_RMB1_dp</v>
      </c>
      <c r="B25" s="19" t="str">
        <f t="shared" si="0"/>
        <v>procedure TCPU_6502.op_RMB1_dp;</v>
      </c>
      <c r="C25" s="20" t="str">
        <f>$B25&amp;CHAR(10)&amp;ConvertCode(OpCode!K25,OpCode!I25,OpCode!H25,"")</f>
        <v>procedure TCPU_6502.op_RMB1_dp;
begin
  Reset Memory Bit. Resets a specific bit of a byte held on zero page.;
  F[Flag_Z]:= (t = 0);
  inc(cycles, 5);
end;</v>
      </c>
      <c r="D25" s="19" t="str">
        <f>IF(OpCode!B25="Y","(*U*)","(* *)")&amp;
" with OpCodes[$"&amp;OpCode!A25&amp;"] do begin" &amp;
" code:= @"&amp;A25&amp;";"&amp;
" inst:= '"&amp;OpCode!C25&amp;"';"&amp;
" fmt:= '"&amp;OpCode!C25&amp;IF(OpCode!D25&lt;&gt;"","'+#9+'"&amp;convertFormat(OpCode!D25),"")&amp;"'"&amp;";"&amp;
" group:= Egroup."&amp;OpCode!E25&amp;";"&amp;
" mode:= Emode."&amp;OpCode!F25&amp;";"&amp;
" len:= "&amp;OpCode!G25&amp;";"&amp;
" cycle:= ["&amp;SUBSTITUTE(OpCode!H25,"|",",")&amp;"];"&amp;
" end;"</f>
        <v>(* *) with OpCodes[$17] do begin code:= @op_RMB1_dp; inst:= 'RMB1'; fmt:= 'RMB1'+#9+'$%.2x'; group:= Egroup.logic; mode:= Emode.dp; len:= 2; cycle:= [5]; end;</v>
      </c>
    </row>
    <row r="26" spans="1:4" ht="78.75" x14ac:dyDescent="0.25">
      <c r="A26" s="18" t="str">
        <f>"op"&amp;"_"&amp;OpCode!C26&amp;ConvertFormat2(OpCode!D26)</f>
        <v>op_CLC</v>
      </c>
      <c r="B26" s="19" t="str">
        <f t="shared" si="0"/>
        <v>procedure TCPU_6502.op_CLC;</v>
      </c>
      <c r="C26" s="20" t="str">
        <f>$B26&amp;CHAR(10)&amp;ConvertCode(OpCode!K26,OpCode!I26,OpCode!H26,"")</f>
        <v>procedure TCPU_6502.op_CLC;
begin
  c:= ((0) and $FF);
  F[Flag_c]:= false;
  inc(cycles, 2);
end;</v>
      </c>
      <c r="D26" s="19" t="str">
        <f>IF(OpCode!B26="Y","(*U*)","(* *)")&amp;
" with OpCodes[$"&amp;OpCode!A26&amp;"] do begin" &amp;
" code:= @"&amp;A26&amp;";"&amp;
" inst:= '"&amp;OpCode!C26&amp;"';"&amp;
" fmt:= '"&amp;OpCode!C26&amp;IF(OpCode!D26&lt;&gt;"","'+#9+'"&amp;convertFormat(OpCode!D26),"")&amp;"'"&amp;";"&amp;
" group:= Egroup."&amp;OpCode!E26&amp;";"&amp;
" mode:= Emode."&amp;OpCode!F26&amp;";"&amp;
" len:= "&amp;OpCode!G26&amp;";"&amp;
" cycle:= ["&amp;SUBSTITUTE(OpCode!H26,"|",",")&amp;"];"&amp;
" end;"</f>
        <v>(* *) with OpCodes[$18] do begin code:= @op_CLC; inst:= 'CLC'; fmt:= 'CLC'; group:= Egroup.control; mode:= Emode.imp; len:= 1; cycle:= [2]; end;</v>
      </c>
    </row>
    <row r="27" spans="1:4" ht="78.75" x14ac:dyDescent="0.25">
      <c r="A27" s="18" t="str">
        <f>"op"&amp;"_"&amp;OpCode!C27&amp;ConvertFormat2(OpCode!D27)</f>
        <v>op_ORA_abs_idY</v>
      </c>
      <c r="B27" s="19" t="str">
        <f t="shared" si="0"/>
        <v>procedure TCPU_6502.op_ORA_abs_idY;</v>
      </c>
      <c r="C27" s="20" t="str">
        <f>$B27&amp;CHAR(10)&amp;ConvertCode(OpCode!K27,OpCode!I27,OpCode!H27,"")</f>
        <v>procedure TCPU_6502.op_ORA_abs_idY;
var 
  t: iSize8;
  MA: iSize16;
  MV: iSize8;
  b1: iSize8;
  b2: iSize8;
begin
  b1:= ReadMem(PC);
  PC:= (PC+1) and $FFFF;
  b2:= ReadMem(PC);
  PC:= (PC+1) and $FFFF;
  MA:= ((b1 + b2 shl 8 + Y) and $FFFF);
  MV:= ReadMem(MA);
  t:= A or MV;
  A:= (t and $FF);
  F[Flag_Z]:= (t = 0);
  F[Flag_N]:= (t and $80) = $80;
  inc(cycles, 4);
end;</v>
      </c>
      <c r="D27" s="19" t="str">
        <f>IF(OpCode!B27="Y","(*U*)","(* *)")&amp;
" with OpCodes[$"&amp;OpCode!A27&amp;"] do begin" &amp;
" code:= @"&amp;A27&amp;";"&amp;
" inst:= '"&amp;OpCode!C27&amp;"';"&amp;
" fmt:= '"&amp;OpCode!C27&amp;IF(OpCode!D27&lt;&gt;"","'+#9+'"&amp;convertFormat(OpCode!D27),"")&amp;"'"&amp;";"&amp;
" group:= Egroup."&amp;OpCode!E27&amp;";"&amp;
" mode:= Emode."&amp;OpCode!F27&amp;";"&amp;
" len:= "&amp;OpCode!G27&amp;";"&amp;
" cycle:= ["&amp;SUBSTITUTE(OpCode!H27,"|",",")&amp;"];"&amp;
" end;"</f>
        <v>(* *) with OpCodes[$19] do begin code:= @op_ORA_abs_idY; inst:= 'ORA'; fmt:= 'ORA'+#9+'$%.4x,Y'; group:= Egroup.logic; mode:= Emode.abs_idx; len:= 3; cycle:= [4]; end;</v>
      </c>
    </row>
    <row r="28" spans="1:4" ht="78.75" x14ac:dyDescent="0.25">
      <c r="A28" s="18" t="str">
        <f>"op"&amp;"_"&amp;OpCode!C28&amp;ConvertFormat2(OpCode!D28)</f>
        <v>op_INC_A</v>
      </c>
      <c r="B28" s="19" t="str">
        <f t="shared" si="0"/>
        <v>procedure TCPU_6502.op_INC_A;</v>
      </c>
      <c r="C28" s="20" t="str">
        <f>$B28&amp;CHAR(10)&amp;ConvertCode(OpCode!K28,OpCode!I28,OpCode!H28,"")</f>
        <v>procedure TCPU_6502.op_INC_A;
begin
  A:= ((A + 1) and $FF);
  F[Flag_Z]:= (t = 0);
  F[Flag_N]:= (t and $80) = $80;
  inc(cycles, 2);
end;</v>
      </c>
      <c r="D28" s="19" t="str">
        <f>IF(OpCode!B28="Y","(*U*)","(* *)")&amp;
" with OpCodes[$"&amp;OpCode!A28&amp;"] do begin" &amp;
" code:= @"&amp;A28&amp;";"&amp;
" inst:= '"&amp;OpCode!C28&amp;"';"&amp;
" fmt:= '"&amp;OpCode!C28&amp;IF(OpCode!D28&lt;&gt;"","'+#9+'"&amp;convertFormat(OpCode!D28),"")&amp;"'"&amp;";"&amp;
" group:= Egroup."&amp;OpCode!E28&amp;";"&amp;
" mode:= Emode."&amp;OpCode!F28&amp;";"&amp;
" len:= "&amp;OpCode!G28&amp;";"&amp;
" cycle:= ["&amp;SUBSTITUTE(OpCode!H28,"|",",")&amp;"];"&amp;
" end;"</f>
        <v>(* *) with OpCodes[$1A] do begin code:= @op_INC_A; inst:= 'INC'; fmt:= 'INC'+#9+'A'; group:= Egroup.arith; mode:= Emode.imp; len:= 1; cycle:= [2]; end;</v>
      </c>
    </row>
    <row r="29" spans="1:4" ht="78.75" x14ac:dyDescent="0.25">
      <c r="A29" s="18" t="str">
        <f>"op"&amp;"_"&amp;OpCode!C29&amp;ConvertFormat2(OpCode!D29)</f>
        <v>op_NOP</v>
      </c>
      <c r="B29" s="19" t="str">
        <f t="shared" si="0"/>
        <v>procedure TCPU_6502.op_NOP;</v>
      </c>
      <c r="C29" s="20" t="str">
        <f>$B29&amp;CHAR(10)&amp;ConvertCode(OpCode!K29,OpCode!I29,OpCode!H29,"")</f>
        <v>procedure TCPU_6502.op_NOP;
begin
  No operation;
  inc(cycles, 2);
end;</v>
      </c>
      <c r="D29" s="19" t="str">
        <f>IF(OpCode!B29="Y","(*U*)","(* *)")&amp;
" with OpCodes[$"&amp;OpCode!A29&amp;"] do begin" &amp;
" code:= @"&amp;A29&amp;";"&amp;
" inst:= '"&amp;OpCode!C29&amp;"';"&amp;
" fmt:= '"&amp;OpCode!C29&amp;IF(OpCode!D29&lt;&gt;"","'+#9+'"&amp;convertFormat(OpCode!D29),"")&amp;"'"&amp;";"&amp;
" group:= Egroup."&amp;OpCode!E29&amp;";"&amp;
" mode:= Emode."&amp;OpCode!F29&amp;";"&amp;
" len:= "&amp;OpCode!G29&amp;";"&amp;
" cycle:= ["&amp;SUBSTITUTE(OpCode!H29,"|",",")&amp;"];"&amp;
" end;"</f>
        <v>(* *) with OpCodes[$1B] do begin code:= @op_NOP; inst:= 'NOP'; fmt:= 'NOP'; group:= Egroup.control; mode:= Emode.imp; len:= 1; cycle:= [2]; end;</v>
      </c>
    </row>
    <row r="30" spans="1:4" ht="78.75" x14ac:dyDescent="0.25">
      <c r="A30" s="18" t="str">
        <f>"op"&amp;"_"&amp;OpCode!C30&amp;ConvertFormat2(OpCode!D30)</f>
        <v>op_TRB_abs</v>
      </c>
      <c r="B30" s="19" t="str">
        <f t="shared" si="0"/>
        <v>procedure TCPU_6502.op_TRB_abs;</v>
      </c>
      <c r="C30" s="20" t="str">
        <f>$B30&amp;CHAR(10)&amp;ConvertCode(OpCode!K30,OpCode!I30,OpCode!H30,"")</f>
        <v>procedure TCPU_6502.op_TRB_abs;
begin
  Teset Reset Bit;
  F[Flag_Z]:= (t = 0);
  inc(cycles, 6);
end;</v>
      </c>
      <c r="D30" s="19" t="str">
        <f>IF(OpCode!B30="Y","(*U*)","(* *)")&amp;
" with OpCodes[$"&amp;OpCode!A30&amp;"] do begin" &amp;
" code:= @"&amp;A30&amp;";"&amp;
" inst:= '"&amp;OpCode!C30&amp;"';"&amp;
" fmt:= '"&amp;OpCode!C30&amp;IF(OpCode!D30&lt;&gt;"","'+#9+'"&amp;convertFormat(OpCode!D30),"")&amp;"'"&amp;";"&amp;
" group:= Egroup."&amp;OpCode!E30&amp;";"&amp;
" mode:= Emode."&amp;OpCode!F30&amp;";"&amp;
" len:= "&amp;OpCode!G30&amp;";"&amp;
" cycle:= ["&amp;SUBSTITUTE(OpCode!H30,"|",",")&amp;"];"&amp;
" end;"</f>
        <v>(* *) with OpCodes[$1C] do begin code:= @op_TRB_abs; inst:= 'TRB'; fmt:= 'TRB'+#9+'$%.4x'; group:= Egroup.logic; mode:= Emode.abs; len:= 3; cycle:= [6]; end;</v>
      </c>
    </row>
    <row r="31" spans="1:4" ht="78.75" x14ac:dyDescent="0.25">
      <c r="A31" s="18" t="str">
        <f>"op"&amp;"_"&amp;OpCode!C31&amp;ConvertFormat2(OpCode!D31)</f>
        <v>op_ORA_abs_idX</v>
      </c>
      <c r="B31" s="19" t="str">
        <f t="shared" si="0"/>
        <v>procedure TCPU_6502.op_ORA_abs_idX;</v>
      </c>
      <c r="C31" s="20" t="str">
        <f>$B31&amp;CHAR(10)&amp;ConvertCode(OpCode!K31,OpCode!I31,OpCode!H31,"")</f>
        <v>procedure TCPU_6502.op_ORA_abs_idX;
var 
  t: iSize8;
  MA: iSize16;
  MV: iSize8;
  b1: iSize8;
  b2: iSize8;
begin
  b1:= ReadMem(PC);
  PC:= (PC+1) and $FFFF;
  b2:= ReadMem(PC);
  PC:= (PC+1) and $FFFF;
  MA:= ((b1 + b2 shl 8 + X) and $FFFF);
  MV:= ReadMem(MA);
  t:= A or MV;
  A:= (t and $FF);
  F[Flag_Z]:= (t = 0);
  F[Flag_N]:= (t and $80) = $80;
  inc(cycles, 4);
end;</v>
      </c>
      <c r="D31" s="19" t="str">
        <f>IF(OpCode!B31="Y","(*U*)","(* *)")&amp;
" with OpCodes[$"&amp;OpCode!A31&amp;"] do begin" &amp;
" code:= @"&amp;A31&amp;";"&amp;
" inst:= '"&amp;OpCode!C31&amp;"';"&amp;
" fmt:= '"&amp;OpCode!C31&amp;IF(OpCode!D31&lt;&gt;"","'+#9+'"&amp;convertFormat(OpCode!D31),"")&amp;"'"&amp;";"&amp;
" group:= Egroup."&amp;OpCode!E31&amp;";"&amp;
" mode:= Emode."&amp;OpCode!F31&amp;";"&amp;
" len:= "&amp;OpCode!G31&amp;";"&amp;
" cycle:= ["&amp;SUBSTITUTE(OpCode!H31,"|",",")&amp;"];"&amp;
" end;"</f>
        <v>(* *) with OpCodes[$1D] do begin code:= @op_ORA_abs_idX; inst:= 'ORA'; fmt:= 'ORA'+#9+'$%.4x,X'; group:= Egroup.logic; mode:= Emode.abs_idx; len:= 3; cycle:= [4]; end;</v>
      </c>
    </row>
    <row r="32" spans="1:4" ht="78.75" x14ac:dyDescent="0.25">
      <c r="A32" s="18" t="str">
        <f>"op"&amp;"_"&amp;OpCode!C32&amp;ConvertFormat2(OpCode!D32)</f>
        <v>op_ASL_abs_idX</v>
      </c>
      <c r="B32" s="19" t="str">
        <f t="shared" si="0"/>
        <v>procedure TCPU_6502.op_ASL_abs_idX;</v>
      </c>
      <c r="C32" s="20" t="str">
        <f>$B32&amp;CHAR(10)&amp;ConvertCode(OpCode!K32,OpCode!I32,OpCode!H32,"")</f>
        <v>procedure TCPU_6502.op_ASL_abs_idX;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32" s="19" t="str">
        <f>IF(OpCode!B32="Y","(*U*)","(* *)")&amp;
" with OpCodes[$"&amp;OpCode!A32&amp;"] do begin" &amp;
" code:= @"&amp;A32&amp;";"&amp;
" inst:= '"&amp;OpCode!C32&amp;"';"&amp;
" fmt:= '"&amp;OpCode!C32&amp;IF(OpCode!D32&lt;&gt;"","'+#9+'"&amp;convertFormat(OpCode!D32),"")&amp;"'"&amp;";"&amp;
" group:= Egroup."&amp;OpCode!E32&amp;";"&amp;
" mode:= Emode."&amp;OpCode!F32&amp;";"&amp;
" len:= "&amp;OpCode!G32&amp;";"&amp;
" cycle:= ["&amp;SUBSTITUTE(OpCode!H32,"|",",")&amp;"];"&amp;
" end;"</f>
        <v>(* *) with OpCodes[$1E] do begin code:= @op_ASL_abs_idX; inst:= 'ASL'; fmt:= 'ASL'+#9+'$%.4x,X'; group:= Egroup.logic; mode:= Emode.abs_idx; len:= 3; cycle:= [7]; end;</v>
      </c>
    </row>
    <row r="33" spans="1:4" ht="78.75" x14ac:dyDescent="0.25">
      <c r="A33" s="18" t="str">
        <f>"op"&amp;"_"&amp;OpCode!C33&amp;ConvertFormat2(OpCode!D33)</f>
        <v>op_BBR1_dp,rel8</v>
      </c>
      <c r="B33" s="19" t="str">
        <f t="shared" si="0"/>
        <v>procedure TCPU_6502.op_BBR1_dp,rel8;</v>
      </c>
      <c r="C33" s="20" t="str">
        <f>$B33&amp;CHAR(10)&amp;ConvertCode(OpCode!K33,OpCode!I33,OpCode!H33,"")</f>
        <v>procedure TCPU_6502.op_BBR1_dp,rel8;
begin
  Branch on Bit Reset. Tests a specific bit of a byte held on zero page and causes a branch of the bit is resest (0);
  inc(cycles, 2|3);
end;</v>
      </c>
      <c r="D33" s="19" t="str">
        <f>IF(OpCode!B33="Y","(*U*)","(* *)")&amp;
" with OpCodes[$"&amp;OpCode!A33&amp;"] do begin" &amp;
" code:= @"&amp;A33&amp;";"&amp;
" inst:= '"&amp;OpCode!C33&amp;"';"&amp;
" fmt:= '"&amp;OpCode!C33&amp;IF(OpCode!D33&lt;&gt;"","'+#9+'"&amp;convertFormat(OpCode!D33),"")&amp;"'"&amp;";"&amp;
" group:= Egroup."&amp;OpCode!E33&amp;";"&amp;
" mode:= Emode."&amp;OpCode!F33&amp;";"&amp;
" len:= "&amp;OpCode!G33&amp;";"&amp;
" cycle:= ["&amp;SUBSTITUTE(OpCode!H33,"|",",")&amp;"];"&amp;
" end;"</f>
        <v>(* *) with OpCodes[$1F] do begin code:= @op_BBR1_dp,rel8; inst:= 'BBR1'; fmt:= 'BBR1'+#9+'$%.2x,%d'; group:= Egroup.branch; mode:= Emode.dp_rel; len:= 3; cycle:= [2,3]; end;</v>
      </c>
    </row>
    <row r="34" spans="1:4" ht="78.75" x14ac:dyDescent="0.25">
      <c r="A34" s="18" t="str">
        <f>"op"&amp;"_"&amp;OpCode!C34&amp;ConvertFormat2(OpCode!D34)</f>
        <v>op_JSR_abs</v>
      </c>
      <c r="B34" s="19" t="str">
        <f t="shared" si="0"/>
        <v>procedure TCPU_6502.op_JSR_abs;</v>
      </c>
      <c r="C34" s="20" t="str">
        <f>$B34&amp;CHAR(10)&amp;ConvertCode(OpCode!K34,OpCode!I34,OpCode!H34,"")</f>
        <v>procedure TCPU_6502.op_JSR_abs;
var 
  MA: iSize16;
  b1: iSize8;
  b2: iSize8;
begin
  b1:= ReadMem(PC);
  PC:= (PC+1) and $FFFF;
  b2:= ReadMem(PC);
  PC:= (PC+1) and $FFFF;
  MA:= b1 + b2 shl 8;
  SP:= (SP - 1) and $FF;
  WriteMem($100+SP, PC and $FF);
  SP:= (SP - 1) and $FF;
  WriteMem($100+SP, (PC shr 8) and $FF);
  PC:= MA;
  inc(cycles, 6);
end;</v>
      </c>
      <c r="D34" s="19" t="str">
        <f>IF(OpCode!B34="Y","(*U*)","(* *)")&amp;
" with OpCodes[$"&amp;OpCode!A34&amp;"] do begin" &amp;
" code:= @"&amp;A34&amp;";"&amp;
" inst:= '"&amp;OpCode!C34&amp;"';"&amp;
" fmt:= '"&amp;OpCode!C34&amp;IF(OpCode!D34&lt;&gt;"","'+#9+'"&amp;convertFormat(OpCode!D34),"")&amp;"'"&amp;";"&amp;
" group:= Egroup."&amp;OpCode!E34&amp;";"&amp;
" mode:= Emode."&amp;OpCode!F34&amp;";"&amp;
" len:= "&amp;OpCode!G34&amp;";"&amp;
" cycle:= ["&amp;SUBSTITUTE(OpCode!H34,"|",",")&amp;"];"&amp;
" end;"</f>
        <v>(* *) with OpCodes[$20] do begin code:= @op_JSR_abs; inst:= 'JSR'; fmt:= 'JSR'+#9+'$%.4x'; group:= Egroup.branch; mode:= Emode.abs; len:= 3; cycle:= [6]; end;</v>
      </c>
    </row>
    <row r="35" spans="1:4" ht="78.75" x14ac:dyDescent="0.25">
      <c r="A35" s="18" t="str">
        <f>"op"&amp;"_"&amp;OpCode!C35&amp;ConvertFormat2(OpCode!D35)</f>
        <v>op_AND_dp_idX_ind</v>
      </c>
      <c r="B35" s="19" t="str">
        <f t="shared" si="0"/>
        <v>procedure TCPU_6502.op_AND_dp_idX_ind;</v>
      </c>
      <c r="C35" s="20" t="str">
        <f>$B35&amp;CHAR(10)&amp;ConvertCode(OpCode!K35,OpCode!I35,OpCode!H35,"")</f>
        <v>procedure TCPU_6502.op_AND_dp_idX_ind;
var 
  t: iSize8;
  MA: iSize16;
  MV: iSize8;
  b1: iSize8;
begin
  b1:= ReadMem(PC);
  PC:= (PC+1) and $FFFF;
  MA:= ((b1 + X) and $FFFF);
  MA:= ReadMem(MA)+256*ReadMem((MA+1) and $FFFF);
  MV:= ReadMem(MA);
  t:= A and MV;
  A:= (t and $FF);
  F[Flag_Z]:= (t = 0);
  F[Flag_N]:= (t and $80) = $80;
  inc(cycles, 6);
end;</v>
      </c>
      <c r="D35" s="19" t="str">
        <f>IF(OpCode!B35="Y","(*U*)","(* *)")&amp;
" with OpCodes[$"&amp;OpCode!A35&amp;"] do begin" &amp;
" code:= @"&amp;A35&amp;";"&amp;
" inst:= '"&amp;OpCode!C35&amp;"';"&amp;
" fmt:= '"&amp;OpCode!C35&amp;IF(OpCode!D35&lt;&gt;"","'+#9+'"&amp;convertFormat(OpCode!D35),"")&amp;"'"&amp;";"&amp;
" group:= Egroup."&amp;OpCode!E35&amp;";"&amp;
" mode:= Emode."&amp;OpCode!F35&amp;";"&amp;
" len:= "&amp;OpCode!G35&amp;";"&amp;
" cycle:= ["&amp;SUBSTITUTE(OpCode!H35,"|",",")&amp;"];"&amp;
" end;"</f>
        <v>(* *) with OpCodes[$21] do begin code:= @op_AND_dp_idX_ind; inst:= 'AND'; fmt:= 'AND'+#9+'($%.2x,X)'; group:= Egroup.logic; mode:= Emode.dp_idx_ind; len:= 2; cycle:= [6]; end;</v>
      </c>
    </row>
    <row r="36" spans="1:4" ht="78.75" x14ac:dyDescent="0.25">
      <c r="A36" s="18" t="str">
        <f>"op"&amp;"_"&amp;OpCode!C36&amp;ConvertFormat2(OpCode!D36)</f>
        <v>op_NOP</v>
      </c>
      <c r="B36" s="19" t="str">
        <f t="shared" si="0"/>
        <v>procedure TCPU_6502.op_NOP;</v>
      </c>
      <c r="C36" s="20" t="str">
        <f>$B36&amp;CHAR(10)&amp;ConvertCode(OpCode!K36,OpCode!I36,OpCode!H36,"")</f>
        <v>procedure TCPU_6502.op_NOP;
begin
  No operation;
  inc(cycles, 2);
end;</v>
      </c>
      <c r="D36" s="19" t="str">
        <f>IF(OpCode!B36="Y","(*U*)","(* *)")&amp;
" with OpCodes[$"&amp;OpCode!A36&amp;"] do begin" &amp;
" code:= @"&amp;A36&amp;";"&amp;
" inst:= '"&amp;OpCode!C36&amp;"';"&amp;
" fmt:= '"&amp;OpCode!C36&amp;IF(OpCode!D36&lt;&gt;"","'+#9+'"&amp;convertFormat(OpCode!D36),"")&amp;"'"&amp;";"&amp;
" group:= Egroup."&amp;OpCode!E36&amp;";"&amp;
" mode:= Emode."&amp;OpCode!F36&amp;";"&amp;
" len:= "&amp;OpCode!G36&amp;";"&amp;
" cycle:= ["&amp;SUBSTITUTE(OpCode!H36,"|",",")&amp;"];"&amp;
" end;"</f>
        <v>(* *) with OpCodes[$22] do begin code:= @op_NOP; inst:= 'NOP'; fmt:= 'NOP'; group:= Egroup.control; mode:= Emode.imp; len:= 1; cycle:= [2]; end;</v>
      </c>
    </row>
    <row r="37" spans="1:4" ht="78.75" x14ac:dyDescent="0.25">
      <c r="A37" s="18" t="str">
        <f>"op"&amp;"_"&amp;OpCode!C37&amp;ConvertFormat2(OpCode!D37)</f>
        <v>op_NOP</v>
      </c>
      <c r="B37" s="19" t="str">
        <f t="shared" si="0"/>
        <v>procedure TCPU_6502.op_NOP;</v>
      </c>
      <c r="C37" s="20" t="str">
        <f>$B37&amp;CHAR(10)&amp;ConvertCode(OpCode!K37,OpCode!I37,OpCode!H37,"")</f>
        <v>procedure TCPU_6502.op_NOP;
begin
  No operation;
  inc(cycles, 2);
end;</v>
      </c>
      <c r="D37" s="19" t="str">
        <f>IF(OpCode!B37="Y","(*U*)","(* *)")&amp;
" with OpCodes[$"&amp;OpCode!A37&amp;"] do begin" &amp;
" code:= @"&amp;A37&amp;";"&amp;
" inst:= '"&amp;OpCode!C37&amp;"';"&amp;
" fmt:= '"&amp;OpCode!C37&amp;IF(OpCode!D37&lt;&gt;"","'+#9+'"&amp;convertFormat(OpCode!D37),"")&amp;"'"&amp;";"&amp;
" group:= Egroup."&amp;OpCode!E37&amp;";"&amp;
" mode:= Emode."&amp;OpCode!F37&amp;";"&amp;
" len:= "&amp;OpCode!G37&amp;";"&amp;
" cycle:= ["&amp;SUBSTITUTE(OpCode!H37,"|",",")&amp;"];"&amp;
" end;"</f>
        <v>(* *) with OpCodes[$23] do begin code:= @op_NOP; inst:= 'NOP'; fmt:= 'NOP'; group:= Egroup.control; mode:= Emode.imp; len:= 1; cycle:= [2]; end;</v>
      </c>
    </row>
    <row r="38" spans="1:4" ht="78.75" x14ac:dyDescent="0.25">
      <c r="A38" s="18" t="str">
        <f>"op"&amp;"_"&amp;OpCode!C38&amp;ConvertFormat2(OpCode!D38)</f>
        <v>op_BIT_dp</v>
      </c>
      <c r="B38" s="19" t="str">
        <f t="shared" si="0"/>
        <v>procedure TCPU_6502.op_BIT_dp;</v>
      </c>
      <c r="C38" s="20" t="str">
        <f>$B38&amp;CHAR(10)&amp;ConvertCode(OpCode!K38,OpCode!I38,OpCode!H38,"")</f>
        <v>procedure TCPU_6502.op_BIT_dp;
var 
  t: iSize8;
  MA: iSize16;
  MV: iSize8;
  b1: iSize8;
begin
  b1:= ReadMem(PC);
  PC:= (PC+1) and $FFFF;
  MA:= b1;
  MV:= ReadMem(MA);
  t:= A and MV;
  F[Flag_V]:= (t&gt;$FF);
  F[Flag_Z]:= (t = 0);
  F[Flag_N]:= (t and $80) = $80;
  inc(cycles, 3);
end;</v>
      </c>
      <c r="D38" s="19" t="str">
        <f>IF(OpCode!B38="Y","(*U*)","(* *)")&amp;
" with OpCodes[$"&amp;OpCode!A38&amp;"] do begin" &amp;
" code:= @"&amp;A38&amp;";"&amp;
" inst:= '"&amp;OpCode!C38&amp;"';"&amp;
" fmt:= '"&amp;OpCode!C38&amp;IF(OpCode!D38&lt;&gt;"","'+#9+'"&amp;convertFormat(OpCode!D38),"")&amp;"'"&amp;";"&amp;
" group:= Egroup."&amp;OpCode!E38&amp;";"&amp;
" mode:= Emode."&amp;OpCode!F38&amp;";"&amp;
" len:= "&amp;OpCode!G38&amp;";"&amp;
" cycle:= ["&amp;SUBSTITUTE(OpCode!H38,"|",",")&amp;"];"&amp;
" end;"</f>
        <v>(* *) with OpCodes[$24] do begin code:= @op_BIT_dp; inst:= 'BIT'; fmt:= 'BIT'+#9+'$%.2x'; group:= Egroup.logic; mode:= Emode.dp; len:= 2; cycle:= [3]; end;</v>
      </c>
    </row>
    <row r="39" spans="1:4" ht="78.75" x14ac:dyDescent="0.25">
      <c r="A39" s="18" t="str">
        <f>"op"&amp;"_"&amp;OpCode!C39&amp;ConvertFormat2(OpCode!D39)</f>
        <v>op_AND_dp</v>
      </c>
      <c r="B39" s="19" t="str">
        <f t="shared" si="0"/>
        <v>procedure TCPU_6502.op_AND_dp;</v>
      </c>
      <c r="C39" s="20" t="str">
        <f>$B39&amp;CHAR(10)&amp;ConvertCode(OpCode!K39,OpCode!I39,OpCode!H39,"")</f>
        <v>procedure TCPU_6502.op_AND_dp;
var 
  t: iSize8;
  MA: iSize16;
  MV: iSize8;
  b1: iSize8;
begin
  b1:= ReadMem(PC);
  PC:= (PC+1) and $FFFF;
  MA:= b1;
  MV:= ReadMem(MA);
  t:= A and ReadMem(MA);
  A:= (t and $FF);
  F[Flag_Z]:= (t = 0);
  F[Flag_N]:= (t and $80) = $80;
  inc(cycles, 3);
end;</v>
      </c>
      <c r="D39" s="19" t="str">
        <f>IF(OpCode!B39="Y","(*U*)","(* *)")&amp;
" with OpCodes[$"&amp;OpCode!A39&amp;"] do begin" &amp;
" code:= @"&amp;A39&amp;";"&amp;
" inst:= '"&amp;OpCode!C39&amp;"';"&amp;
" fmt:= '"&amp;OpCode!C39&amp;IF(OpCode!D39&lt;&gt;"","'+#9+'"&amp;convertFormat(OpCode!D39),"")&amp;"'"&amp;";"&amp;
" group:= Egroup."&amp;OpCode!E39&amp;";"&amp;
" mode:= Emode."&amp;OpCode!F39&amp;";"&amp;
" len:= "&amp;OpCode!G39&amp;";"&amp;
" cycle:= ["&amp;SUBSTITUTE(OpCode!H39,"|",",")&amp;"];"&amp;
" end;"</f>
        <v>(* *) with OpCodes[$25] do begin code:= @op_AND_dp; inst:= 'AND'; fmt:= 'AND'+#9+'$%.2x'; group:= Egroup.logic; mode:= Emode.dp; len:= 2; cycle:= [3]; end;</v>
      </c>
    </row>
    <row r="40" spans="1:4" ht="78.75" x14ac:dyDescent="0.25">
      <c r="A40" s="18" t="str">
        <f>"op"&amp;"_"&amp;OpCode!C40&amp;ConvertFormat2(OpCode!D40)</f>
        <v>op_ROL_dp</v>
      </c>
      <c r="B40" s="19" t="str">
        <f t="shared" si="0"/>
        <v>procedure TCPU_6502.op_ROL_dp;</v>
      </c>
      <c r="C40" s="20" t="str">
        <f>$B40&amp;CHAR(10)&amp;ConvertCode(OpCode!K40,OpCode!I40,OpCode!H40,"")</f>
        <v>procedure TCPU_6502.op_ROL_dp;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40" s="19" t="str">
        <f>IF(OpCode!B40="Y","(*U*)","(* *)")&amp;
" with OpCodes[$"&amp;OpCode!A40&amp;"] do begin" &amp;
" code:= @"&amp;A40&amp;";"&amp;
" inst:= '"&amp;OpCode!C40&amp;"';"&amp;
" fmt:= '"&amp;OpCode!C40&amp;IF(OpCode!D40&lt;&gt;"","'+#9+'"&amp;convertFormat(OpCode!D40),"")&amp;"'"&amp;";"&amp;
" group:= Egroup."&amp;OpCode!E40&amp;";"&amp;
" mode:= Emode."&amp;OpCode!F40&amp;";"&amp;
" len:= "&amp;OpCode!G40&amp;";"&amp;
" cycle:= ["&amp;SUBSTITUTE(OpCode!H40,"|",",")&amp;"];"&amp;
" end;"</f>
        <v>(* *) with OpCodes[$26] do begin code:= @op_ROL_dp; inst:= 'ROL'; fmt:= 'ROL'+#9+'$%.2x'; group:= Egroup.logic; mode:= Emode.dp; len:= 2; cycle:= [5]; end;</v>
      </c>
    </row>
    <row r="41" spans="1:4" ht="78.75" x14ac:dyDescent="0.25">
      <c r="A41" s="18" t="str">
        <f>"op"&amp;"_"&amp;OpCode!C41&amp;ConvertFormat2(OpCode!D41)</f>
        <v>op_RMB2_dp</v>
      </c>
      <c r="B41" s="19" t="str">
        <f t="shared" si="0"/>
        <v>procedure TCPU_6502.op_RMB2_dp;</v>
      </c>
      <c r="C41" s="20" t="str">
        <f>$B41&amp;CHAR(10)&amp;ConvertCode(OpCode!K41,OpCode!I41,OpCode!H41,"")</f>
        <v>procedure TCPU_6502.op_RMB2_dp;
begin
  Reset Memory Bit. Resets a specific bit of a byte held on zero page.;
  F[Flag_Z]:= (t = 0);
  inc(cycles, 5);
end;</v>
      </c>
      <c r="D41" s="19" t="str">
        <f>IF(OpCode!B41="Y","(*U*)","(* *)")&amp;
" with OpCodes[$"&amp;OpCode!A41&amp;"] do begin" &amp;
" code:= @"&amp;A41&amp;";"&amp;
" inst:= '"&amp;OpCode!C41&amp;"';"&amp;
" fmt:= '"&amp;OpCode!C41&amp;IF(OpCode!D41&lt;&gt;"","'+#9+'"&amp;convertFormat(OpCode!D41),"")&amp;"'"&amp;";"&amp;
" group:= Egroup."&amp;OpCode!E41&amp;";"&amp;
" mode:= Emode."&amp;OpCode!F41&amp;";"&amp;
" len:= "&amp;OpCode!G41&amp;";"&amp;
" cycle:= ["&amp;SUBSTITUTE(OpCode!H41,"|",",")&amp;"];"&amp;
" end;"</f>
        <v>(* *) with OpCodes[$27] do begin code:= @op_RMB2_dp; inst:= 'RMB2'; fmt:= 'RMB2'+#9+'$%.2x'; group:= Egroup.logic; mode:= Emode.dp; len:= 2; cycle:= [5]; end;</v>
      </c>
    </row>
    <row r="42" spans="1:4" ht="78.75" x14ac:dyDescent="0.25">
      <c r="A42" s="18" t="str">
        <f>"op"&amp;"_"&amp;OpCode!C42&amp;ConvertFormat2(OpCode!D42)</f>
        <v>op_PLP</v>
      </c>
      <c r="B42" s="19" t="str">
        <f t="shared" si="0"/>
        <v>procedure TCPU_6502.op_PLP;</v>
      </c>
      <c r="C42" s="20" t="str">
        <f>$B42&amp;CHAR(10)&amp;ConvertCode(OpCode!K42,OpCode!I42,OpCode!H42,"")</f>
        <v>procedure TCPU_6502.op_PLP;
begin
  P:= ReadMem($100+SP);
  SP:= (SP + 1) and $FF; 
  F[Flag_V]:= (t&gt;$FF);
  F[Flag_Z]:= (t = 0);
  F[Flag_N]:= (t and $80) = $80;
  F[Flag_C]:= (t and $100) = $100;  
  inc(cycles, 4);
end;</v>
      </c>
      <c r="D42" s="19" t="str">
        <f>IF(OpCode!B42="Y","(*U*)","(* *)")&amp;
" with OpCodes[$"&amp;OpCode!A42&amp;"] do begin" &amp;
" code:= @"&amp;A42&amp;";"&amp;
" inst:= '"&amp;OpCode!C42&amp;"';"&amp;
" fmt:= '"&amp;OpCode!C42&amp;IF(OpCode!D42&lt;&gt;"","'+#9+'"&amp;convertFormat(OpCode!D42),"")&amp;"'"&amp;";"&amp;
" group:= Egroup."&amp;OpCode!E42&amp;";"&amp;
" mode:= Emode."&amp;OpCode!F42&amp;";"&amp;
" len:= "&amp;OpCode!G42&amp;";"&amp;
" cycle:= ["&amp;SUBSTITUTE(OpCode!H42,"|",",")&amp;"];"&amp;
" end;"</f>
        <v>(* *) with OpCodes[$28] do begin code:= @op_PLP; inst:= 'PLP'; fmt:= 'PLP'; group:= Egroup.stack; mode:= Emode.imp; len:= 1; cycle:= [4]; end;</v>
      </c>
    </row>
    <row r="43" spans="1:4" ht="78.75" x14ac:dyDescent="0.25">
      <c r="A43" s="18" t="str">
        <f>"op"&amp;"_"&amp;OpCode!C43&amp;ConvertFormat2(OpCode!D43)</f>
        <v>op_AND_imm</v>
      </c>
      <c r="B43" s="19" t="str">
        <f t="shared" si="0"/>
        <v>procedure TCPU_6502.op_AND_imm;</v>
      </c>
      <c r="C43" s="20" t="str">
        <f>$B43&amp;CHAR(10)&amp;ConvertCode(OpCode!K43,OpCode!I43,OpCode!H43,"")</f>
        <v>procedure TCPU_6502.op_AND_imm;
var 
  t: iSize8;
  b1: iSize8;
begin
  b1:= ReadMem(PC);
  PC:= (PC+1) and $FFFF;
  t:= A and b1;
  A:= (t and $FF);
  F[Flag_Z]:= (t = 0);
  F[Flag_N]:= (t and $80) = $80;
  inc(cycles, 2);
end;</v>
      </c>
      <c r="D43" s="19" t="str">
        <f>IF(OpCode!B43="Y","(*U*)","(* *)")&amp;
" with OpCodes[$"&amp;OpCode!A43&amp;"] do begin" &amp;
" code:= @"&amp;A43&amp;";"&amp;
" inst:= '"&amp;OpCode!C43&amp;"';"&amp;
" fmt:= '"&amp;OpCode!C43&amp;IF(OpCode!D43&lt;&gt;"","'+#9+'"&amp;convertFormat(OpCode!D43),"")&amp;"'"&amp;";"&amp;
" group:= Egroup."&amp;OpCode!E43&amp;";"&amp;
" mode:= Emode."&amp;OpCode!F43&amp;";"&amp;
" len:= "&amp;OpCode!G43&amp;";"&amp;
" cycle:= ["&amp;SUBSTITUTE(OpCode!H43,"|",",")&amp;"];"&amp;
" end;"</f>
        <v>(* *) with OpCodes[$29] do begin code:= @op_AND_imm; inst:= 'AND'; fmt:= 'AND'+#9+'#%.2x'; group:= Egroup.logic; mode:= Emode.imm; len:= 2; cycle:= [2]; end;</v>
      </c>
    </row>
    <row r="44" spans="1:4" ht="78.75" x14ac:dyDescent="0.25">
      <c r="A44" s="18" t="str">
        <f>"op"&amp;"_"&amp;OpCode!C44&amp;ConvertFormat2(OpCode!D44)</f>
        <v>op_ROL_A</v>
      </c>
      <c r="B44" s="19" t="str">
        <f t="shared" si="0"/>
        <v>procedure TCPU_6502.op_ROL_A;</v>
      </c>
      <c r="C44" s="20" t="str">
        <f>$B44&amp;CHAR(10)&amp;ConvertCode(OpCode!K44,OpCode!I44,OpCode!H44,"")</f>
        <v>procedure TCPU_6502.op_ROL_A;
var 
  t: iSize8;
begin
  t:= A  shl  1;
  A:= (t and $FF);
  F[Flag_Z]:= (t = 0);
  F[Flag_N]:= (t and $80) = $80;
  F[Flag_C]:= (t and $100) = $100;  
  inc(cycles, 2);
end;</v>
      </c>
      <c r="D44" s="19" t="str">
        <f>IF(OpCode!B44="Y","(*U*)","(* *)")&amp;
" with OpCodes[$"&amp;OpCode!A44&amp;"] do begin" &amp;
" code:= @"&amp;A44&amp;";"&amp;
" inst:= '"&amp;OpCode!C44&amp;"';"&amp;
" fmt:= '"&amp;OpCode!C44&amp;IF(OpCode!D44&lt;&gt;"","'+#9+'"&amp;convertFormat(OpCode!D44),"")&amp;"'"&amp;";"&amp;
" group:= Egroup."&amp;OpCode!E44&amp;";"&amp;
" mode:= Emode."&amp;OpCode!F44&amp;";"&amp;
" len:= "&amp;OpCode!G44&amp;";"&amp;
" cycle:= ["&amp;SUBSTITUTE(OpCode!H44,"|",",")&amp;"];"&amp;
" end;"</f>
        <v>(* *) with OpCodes[$2A] do begin code:= @op_ROL_A; inst:= 'ROL'; fmt:= 'ROL'+#9+'A'; group:= Egroup.logic; mode:= Emode.imp; len:= 1; cycle:= [2]; end;</v>
      </c>
    </row>
    <row r="45" spans="1:4" ht="78.75" x14ac:dyDescent="0.25">
      <c r="A45" s="18" t="str">
        <f>"op"&amp;"_"&amp;OpCode!C45&amp;ConvertFormat2(OpCode!D45)</f>
        <v>op_NOP</v>
      </c>
      <c r="B45" s="19" t="str">
        <f t="shared" si="0"/>
        <v>procedure TCPU_6502.op_NOP;</v>
      </c>
      <c r="C45" s="20" t="str">
        <f>$B45&amp;CHAR(10)&amp;ConvertCode(OpCode!K45,OpCode!I45,OpCode!H45,"")</f>
        <v>procedure TCPU_6502.op_NOP;
begin
  No operation;
  inc(cycles, 2);
end;</v>
      </c>
      <c r="D45" s="19" t="str">
        <f>IF(OpCode!B45="Y","(*U*)","(* *)")&amp;
" with OpCodes[$"&amp;OpCode!A45&amp;"] do begin" &amp;
" code:= @"&amp;A45&amp;";"&amp;
" inst:= '"&amp;OpCode!C45&amp;"';"&amp;
" fmt:= '"&amp;OpCode!C45&amp;IF(OpCode!D45&lt;&gt;"","'+#9+'"&amp;convertFormat(OpCode!D45),"")&amp;"'"&amp;";"&amp;
" group:= Egroup."&amp;OpCode!E45&amp;";"&amp;
" mode:= Emode."&amp;OpCode!F45&amp;";"&amp;
" len:= "&amp;OpCode!G45&amp;";"&amp;
" cycle:= ["&amp;SUBSTITUTE(OpCode!H45,"|",",")&amp;"];"&amp;
" end;"</f>
        <v>(* *) with OpCodes[$2B] do begin code:= @op_NOP; inst:= 'NOP'; fmt:= 'NOP'; group:= Egroup.control; mode:= Emode.imp; len:= 1; cycle:= [2]; end;</v>
      </c>
    </row>
    <row r="46" spans="1:4" ht="78.75" x14ac:dyDescent="0.25">
      <c r="A46" s="18" t="str">
        <f>"op"&amp;"_"&amp;OpCode!C46&amp;ConvertFormat2(OpCode!D46)</f>
        <v>op_BIT_abs</v>
      </c>
      <c r="B46" s="19" t="str">
        <f t="shared" si="0"/>
        <v>procedure TCPU_6502.op_BIT_abs;</v>
      </c>
      <c r="C46" s="20" t="str">
        <f>$B46&amp;CHAR(10)&amp;ConvertCode(OpCode!K46,OpCode!I46,OpCode!H46,"")</f>
        <v>procedure TCPU_6502.op_BIT_abs;
var 
  t: iSize8;
  MA: iSize16;
  MV: iSize8;
  b1: iSize8;
  b2: iSize8;
begin
  b1:= ReadMem(PC);
  PC:= (PC+1) and $FFFF;
  b2:= ReadMem(PC);
  PC:= (PC+1) and $FFFF;
  MA:= b1 + b2 shl 8;
  MV:= ReadMem(MA);
  t:= A and MV;
  F[Flag_V]:= (t&gt;$FF);
  F[Flag_Z]:= (t = 0);
  F[Flag_N]:= (t and $80) = $80;
  inc(cycles, 4);
end;</v>
      </c>
      <c r="D46" s="19" t="str">
        <f>IF(OpCode!B46="Y","(*U*)","(* *)")&amp;
" with OpCodes[$"&amp;OpCode!A46&amp;"] do begin" &amp;
" code:= @"&amp;A46&amp;";"&amp;
" inst:= '"&amp;OpCode!C46&amp;"';"&amp;
" fmt:= '"&amp;OpCode!C46&amp;IF(OpCode!D46&lt;&gt;"","'+#9+'"&amp;convertFormat(OpCode!D46),"")&amp;"'"&amp;";"&amp;
" group:= Egroup."&amp;OpCode!E46&amp;";"&amp;
" mode:= Emode."&amp;OpCode!F46&amp;";"&amp;
" len:= "&amp;OpCode!G46&amp;";"&amp;
" cycle:= ["&amp;SUBSTITUTE(OpCode!H46,"|",",")&amp;"];"&amp;
" end;"</f>
        <v>(* *) with OpCodes[$2C] do begin code:= @op_BIT_abs; inst:= 'BIT'; fmt:= 'BIT'+#9+'$%.4x'; group:= Egroup.logic; mode:= Emode.abs; len:= 3; cycle:= [4]; end;</v>
      </c>
    </row>
    <row r="47" spans="1:4" ht="78.75" x14ac:dyDescent="0.25">
      <c r="A47" s="18" t="str">
        <f>"op"&amp;"_"&amp;OpCode!C47&amp;ConvertFormat2(OpCode!D47)</f>
        <v>op_AND_abs</v>
      </c>
      <c r="B47" s="19" t="str">
        <f t="shared" si="0"/>
        <v>procedure TCPU_6502.op_AND_abs;</v>
      </c>
      <c r="C47" s="20" t="str">
        <f>$B47&amp;CHAR(10)&amp;ConvertCode(OpCode!K47,OpCode!I47,OpCode!H47,"")</f>
        <v>procedure TCPU_6502.op_AND_abs;
var 
  t: iSize8;
  MA: iSize16;
  MV: iSize8;
  b1: iSize8;
  b2: iSize8;
begin
  b1:= ReadMem(PC);
  PC:= (PC+1) and $FFFF;
  b2:= ReadMem(PC);
  PC:= (PC+1) and $FFFF;
  MA:= b1 + b2 shl 8;
  MV:= ReadMem(MA);
  t:= A and MV;
  A:= (t and $FF);
  F[Flag_Z]:= (t = 0);
  F[Flag_N]:= (t and $80) = $80;
  inc(cycles, 4);
end;</v>
      </c>
      <c r="D47" s="19" t="str">
        <f>IF(OpCode!B47="Y","(*U*)","(* *)")&amp;
" with OpCodes[$"&amp;OpCode!A47&amp;"] do begin" &amp;
" code:= @"&amp;A47&amp;";"&amp;
" inst:= '"&amp;OpCode!C47&amp;"';"&amp;
" fmt:= '"&amp;OpCode!C47&amp;IF(OpCode!D47&lt;&gt;"","'+#9+'"&amp;convertFormat(OpCode!D47),"")&amp;"'"&amp;";"&amp;
" group:= Egroup."&amp;OpCode!E47&amp;";"&amp;
" mode:= Emode."&amp;OpCode!F47&amp;";"&amp;
" len:= "&amp;OpCode!G47&amp;";"&amp;
" cycle:= ["&amp;SUBSTITUTE(OpCode!H47,"|",",")&amp;"];"&amp;
" end;"</f>
        <v>(* *) with OpCodes[$2D] do begin code:= @op_AND_abs; inst:= 'AND'; fmt:= 'AND'+#9+'$%.4x'; group:= Egroup.logic; mode:= Emode.abs; len:= 3; cycle:= [4]; end;</v>
      </c>
    </row>
    <row r="48" spans="1:4" ht="78.75" x14ac:dyDescent="0.25">
      <c r="A48" s="18" t="str">
        <f>"op"&amp;"_"&amp;OpCode!C48&amp;ConvertFormat2(OpCode!D48)</f>
        <v>op_ROL_abs</v>
      </c>
      <c r="B48" s="19" t="str">
        <f t="shared" si="0"/>
        <v>procedure TCPU_6502.op_ROL_abs;</v>
      </c>
      <c r="C48" s="20" t="str">
        <f>$B48&amp;CHAR(10)&amp;ConvertCode(OpCode!K48,OpCode!I48,OpCode!H48,"")</f>
        <v>procedure TCPU_6502.op_ROL_abs;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48" s="19" t="str">
        <f>IF(OpCode!B48="Y","(*U*)","(* *)")&amp;
" with OpCodes[$"&amp;OpCode!A48&amp;"] do begin" &amp;
" code:= @"&amp;A48&amp;";"&amp;
" inst:= '"&amp;OpCode!C48&amp;"';"&amp;
" fmt:= '"&amp;OpCode!C48&amp;IF(OpCode!D48&lt;&gt;"","'+#9+'"&amp;convertFormat(OpCode!D48),"")&amp;"'"&amp;";"&amp;
" group:= Egroup."&amp;OpCode!E48&amp;";"&amp;
" mode:= Emode."&amp;OpCode!F48&amp;";"&amp;
" len:= "&amp;OpCode!G48&amp;";"&amp;
" cycle:= ["&amp;SUBSTITUTE(OpCode!H48,"|",",")&amp;"];"&amp;
" end;"</f>
        <v>(* *) with OpCodes[$2E] do begin code:= @op_ROL_abs; inst:= 'ROL'; fmt:= 'ROL'+#9+'$%.4x'; group:= Egroup.logic; mode:= Emode.abs; len:= 3; cycle:= [6]; end;</v>
      </c>
    </row>
    <row r="49" spans="1:4" ht="78.75" x14ac:dyDescent="0.25">
      <c r="A49" s="18" t="str">
        <f>"op"&amp;"_"&amp;OpCode!C49&amp;ConvertFormat2(OpCode!D49)</f>
        <v>op_BBR2_dp,rel8</v>
      </c>
      <c r="B49" s="19" t="str">
        <f t="shared" si="0"/>
        <v>procedure TCPU_6502.op_BBR2_dp,rel8;</v>
      </c>
      <c r="C49" s="20" t="str">
        <f>$B49&amp;CHAR(10)&amp;ConvertCode(OpCode!K49,OpCode!I49,OpCode!H49,"")</f>
        <v>procedure TCPU_6502.op_BBR2_dp,rel8;
begin
  Branch on Bit Reset. Tests a specific bit of a byte held on zero page and causes a branch of the bit is resest (0);
  inc(cycles, 2|3);
end;</v>
      </c>
      <c r="D49" s="19" t="str">
        <f>IF(OpCode!B49="Y","(*U*)","(* *)")&amp;
" with OpCodes[$"&amp;OpCode!A49&amp;"] do begin" &amp;
" code:= @"&amp;A49&amp;";"&amp;
" inst:= '"&amp;OpCode!C49&amp;"';"&amp;
" fmt:= '"&amp;OpCode!C49&amp;IF(OpCode!D49&lt;&gt;"","'+#9+'"&amp;convertFormat(OpCode!D49),"")&amp;"'"&amp;";"&amp;
" group:= Egroup."&amp;OpCode!E49&amp;";"&amp;
" mode:= Emode."&amp;OpCode!F49&amp;";"&amp;
" len:= "&amp;OpCode!G49&amp;";"&amp;
" cycle:= ["&amp;SUBSTITUTE(OpCode!H49,"|",",")&amp;"];"&amp;
" end;"</f>
        <v>(* *) with OpCodes[$2F] do begin code:= @op_BBR2_dp,rel8; inst:= 'BBR2'; fmt:= 'BBR2'+#9+'$%.2x,%d'; group:= Egroup.branch; mode:= Emode.dp_rel; len:= 3; cycle:= [2,3]; end;</v>
      </c>
    </row>
    <row r="50" spans="1:4" ht="78.75" x14ac:dyDescent="0.25">
      <c r="A50" s="18" t="str">
        <f>"op"&amp;"_"&amp;OpCode!C50&amp;ConvertFormat2(OpCode!D50)</f>
        <v>op_BMI_rel8</v>
      </c>
      <c r="B50" s="19" t="str">
        <f t="shared" si="0"/>
        <v>procedure TCPU_6502.op_BMI_rel8;</v>
      </c>
      <c r="C50" s="20" t="str">
        <f>$B50&amp;CHAR(10)&amp;ConvertCode(OpCode!K50,OpCode!I50,OpCode!H50,"")</f>
        <v>procedure TCPU_6502.op_BMI_rel8;
var 
  b1: iSize8;
begin
  b1:= ReadMem(PC);
  PC:= (PC+1) and $FFFF;
  if not   then PC:= ((PC + b1) and $FF);
  inc(cycles, 2|3);
end;</v>
      </c>
      <c r="D50" s="19" t="str">
        <f>IF(OpCode!B50="Y","(*U*)","(* *)")&amp;
" with OpCodes[$"&amp;OpCode!A50&amp;"] do begin" &amp;
" code:= @"&amp;A50&amp;";"&amp;
" inst:= '"&amp;OpCode!C50&amp;"';"&amp;
" fmt:= '"&amp;OpCode!C50&amp;IF(OpCode!D50&lt;&gt;"","'+#9+'"&amp;convertFormat(OpCode!D50),"")&amp;"'"&amp;";"&amp;
" group:= Egroup."&amp;OpCode!E50&amp;";"&amp;
" mode:= Emode."&amp;OpCode!F50&amp;";"&amp;
" len:= "&amp;OpCode!G50&amp;";"&amp;
" cycle:= ["&amp;SUBSTITUTE(OpCode!H50,"|",",")&amp;"];"&amp;
" end;"</f>
        <v>(* *) with OpCodes[$30] do begin code:= @op_BMI_rel8; inst:= 'BMI'; fmt:= 'BMI'+#9+'%d'; group:= Egroup.branch; mode:= Emode.rel; len:= 2; cycle:= [2,3]; end;</v>
      </c>
    </row>
    <row r="51" spans="1:4" ht="78.75" x14ac:dyDescent="0.25">
      <c r="A51" s="18" t="str">
        <f>"op"&amp;"_"&amp;OpCode!C51&amp;ConvertFormat2(OpCode!D51)</f>
        <v>op_AND_dp_ind_idY</v>
      </c>
      <c r="B51" s="19" t="str">
        <f t="shared" si="0"/>
        <v>procedure TCPU_6502.op_AND_dp_ind_idY;</v>
      </c>
      <c r="C51" s="20" t="str">
        <f>$B51&amp;CHAR(10)&amp;ConvertCode(OpCode!K51,OpCode!I51,OpCode!H51,"")</f>
        <v>procedure TCPU_6502.op_AND_dp_ind_idY;
var 
  t: iSize8;
  MA: iSize16;
  MV: iSize8;
  b1: iSize8;
begin
  b1:= ReadMem(PC);
  PC:= (PC+1) and $FFFF;
  MA:= b1;
  MA:= ReadMem(MA)+256*ReadMem((MA+1) and $FFFF) + Y;
  MV:= ReadMem(MA);
  t:= A and MV;
  A:= (t and $FF);
  F[Flag_Z]:= (t = 0);
  F[Flag_N]:= (t and $80) = $80;
  inc(cycles, 5);
end;</v>
      </c>
      <c r="D51" s="19" t="str">
        <f>IF(OpCode!B51="Y","(*U*)","(* *)")&amp;
" with OpCodes[$"&amp;OpCode!A51&amp;"] do begin" &amp;
" code:= @"&amp;A51&amp;";"&amp;
" inst:= '"&amp;OpCode!C51&amp;"';"&amp;
" fmt:= '"&amp;OpCode!C51&amp;IF(OpCode!D51&lt;&gt;"","'+#9+'"&amp;convertFormat(OpCode!D51),"")&amp;"'"&amp;";"&amp;
" group:= Egroup."&amp;OpCode!E51&amp;";"&amp;
" mode:= Emode."&amp;OpCode!F51&amp;";"&amp;
" len:= "&amp;OpCode!G51&amp;";"&amp;
" cycle:= ["&amp;SUBSTITUTE(OpCode!H51,"|",",")&amp;"];"&amp;
" end;"</f>
        <v>(* *) with OpCodes[$31] do begin code:= @op_AND_dp_ind_idY; inst:= 'AND'; fmt:= 'AND'+#9+'($%.2x),Y'; group:= Egroup.logic; mode:= Emode.dp_ind_idx; len:= 2; cycle:= [5]; end;</v>
      </c>
    </row>
    <row r="52" spans="1:4" ht="78.75" x14ac:dyDescent="0.25">
      <c r="A52" s="18" t="str">
        <f>"op"&amp;"_"&amp;OpCode!C52&amp;ConvertFormat2(OpCode!D52)</f>
        <v>op_AND_dp_ind</v>
      </c>
      <c r="B52" s="19" t="str">
        <f t="shared" si="0"/>
        <v>procedure TCPU_6502.op_AND_dp_ind;</v>
      </c>
      <c r="C52" s="20" t="str">
        <f>$B52&amp;CHAR(10)&amp;ConvertCode(OpCode!K52,OpCode!I52,OpCode!H52,"")</f>
        <v>procedure TCPU_6502.op_AND_dp_ind;
var 
  t: iSize8;
  MA: iSize16;
  MV: iSize8;
  b1: iSize8;
begin
  b1:= ReadMem(PC);
  PC:= (PC+1) and $FFFF;
  MA:= b1;
  MA:= ReadMem(MA)+256*ReadMem((MA+1) and $FFFF);
  MV:= ReadMem(MA);
  t:= A and MV;
  A:= (t and $FF);
  F[Flag_Z]:= (t = 0);
  F[Flag_N]:= (t and $80) = $80;
  inc(cycles, 5);
end;</v>
      </c>
      <c r="D52" s="19" t="str">
        <f>IF(OpCode!B52="Y","(*U*)","(* *)")&amp;
" with OpCodes[$"&amp;OpCode!A52&amp;"] do begin" &amp;
" code:= @"&amp;A52&amp;";"&amp;
" inst:= '"&amp;OpCode!C52&amp;"';"&amp;
" fmt:= '"&amp;OpCode!C52&amp;IF(OpCode!D52&lt;&gt;"","'+#9+'"&amp;convertFormat(OpCode!D52),"")&amp;"'"&amp;";"&amp;
" group:= Egroup."&amp;OpCode!E52&amp;";"&amp;
" mode:= Emode."&amp;OpCode!F52&amp;";"&amp;
" len:= "&amp;OpCode!G52&amp;";"&amp;
" cycle:= ["&amp;SUBSTITUTE(OpCode!H52,"|",",")&amp;"];"&amp;
" end;"</f>
        <v>(* *) with OpCodes[$32] do begin code:= @op_AND_dp_ind; inst:= 'AND'; fmt:= 'AND'+#9+'($%.2x)'; group:= Egroup.logic; mode:= Emode.dp_ind; len:= 2; cycle:= [5]; end;</v>
      </c>
    </row>
    <row r="53" spans="1:4" ht="78.75" x14ac:dyDescent="0.25">
      <c r="A53" s="18" t="str">
        <f>"op"&amp;"_"&amp;OpCode!C53&amp;ConvertFormat2(OpCode!D53)</f>
        <v>op_NOP</v>
      </c>
      <c r="B53" s="19" t="str">
        <f t="shared" si="0"/>
        <v>procedure TCPU_6502.op_NOP;</v>
      </c>
      <c r="C53" s="20" t="str">
        <f>$B53&amp;CHAR(10)&amp;ConvertCode(OpCode!K53,OpCode!I53,OpCode!H53,"")</f>
        <v>procedure TCPU_6502.op_NOP;
begin
  No operation;
  inc(cycles, 2);
end;</v>
      </c>
      <c r="D53" s="19" t="str">
        <f>IF(OpCode!B53="Y","(*U*)","(* *)")&amp;
" with OpCodes[$"&amp;OpCode!A53&amp;"] do begin" &amp;
" code:= @"&amp;A53&amp;";"&amp;
" inst:= '"&amp;OpCode!C53&amp;"';"&amp;
" fmt:= '"&amp;OpCode!C53&amp;IF(OpCode!D53&lt;&gt;"","'+#9+'"&amp;convertFormat(OpCode!D53),"")&amp;"'"&amp;";"&amp;
" group:= Egroup."&amp;OpCode!E53&amp;";"&amp;
" mode:= Emode."&amp;OpCode!F53&amp;";"&amp;
" len:= "&amp;OpCode!G53&amp;";"&amp;
" cycle:= ["&amp;SUBSTITUTE(OpCode!H53,"|",",")&amp;"];"&amp;
" end;"</f>
        <v>(* *) with OpCodes[$33] do begin code:= @op_NOP; inst:= 'NOP'; fmt:= 'NOP'; group:= Egroup.control; mode:= Emode.imp; len:= 1; cycle:= [2]; end;</v>
      </c>
    </row>
    <row r="54" spans="1:4" ht="78.75" x14ac:dyDescent="0.25">
      <c r="A54" s="18" t="str">
        <f>"op"&amp;"_"&amp;OpCode!C54&amp;ConvertFormat2(OpCode!D54)</f>
        <v>op_BIT_dp_idX</v>
      </c>
      <c r="B54" s="19" t="str">
        <f t="shared" si="0"/>
        <v>procedure TCPU_6502.op_BIT_dp_idX;</v>
      </c>
      <c r="C54" s="20" t="str">
        <f>$B54&amp;CHAR(10)&amp;ConvertCode(OpCode!K54,OpCode!I54,OpCode!H54,"")</f>
        <v>procedure TCPU_6502.op_BIT_dp_idX;
var 
  t: iSize8;
  MA: iSize16;
  MV: iSize8;
  b1: iSize8;
begin
  b1:= ReadMem(PC);
  PC:= (PC+1) and $FFFF;
  MA:= ((b1 + X) and $FFFF);
  MV:= ReadMem(MA);
  t:= A and MV;
  F[Flag_V]:= (t&gt;$FF);
  F[Flag_Z]:= (t = 0);
  F[Flag_N]:= (t and $80) = $80;
  inc(cycles, 4);
end;</v>
      </c>
      <c r="D54" s="19" t="str">
        <f>IF(OpCode!B54="Y","(*U*)","(* *)")&amp;
" with OpCodes[$"&amp;OpCode!A54&amp;"] do begin" &amp;
" code:= @"&amp;A54&amp;";"&amp;
" inst:= '"&amp;OpCode!C54&amp;"';"&amp;
" fmt:= '"&amp;OpCode!C54&amp;IF(OpCode!D54&lt;&gt;"","'+#9+'"&amp;convertFormat(OpCode!D54),"")&amp;"'"&amp;";"&amp;
" group:= Egroup."&amp;OpCode!E54&amp;";"&amp;
" mode:= Emode."&amp;OpCode!F54&amp;";"&amp;
" len:= "&amp;OpCode!G54&amp;";"&amp;
" cycle:= ["&amp;SUBSTITUTE(OpCode!H54,"|",",")&amp;"];"&amp;
" end;"</f>
        <v>(* *) with OpCodes[$34] do begin code:= @op_BIT_dp_idX; inst:= 'BIT'; fmt:= 'BIT'+#9+'$%.2x,X'; group:= Egroup.logic; mode:= Emode.imp; len:= 1; cycle:= [4]; end;</v>
      </c>
    </row>
    <row r="55" spans="1:4" ht="78.75" x14ac:dyDescent="0.25">
      <c r="A55" s="18" t="str">
        <f>"op"&amp;"_"&amp;OpCode!C55&amp;ConvertFormat2(OpCode!D55)</f>
        <v>op_AND_dp_idX</v>
      </c>
      <c r="B55" s="19" t="str">
        <f t="shared" si="0"/>
        <v>procedure TCPU_6502.op_AND_dp_idX;</v>
      </c>
      <c r="C55" s="20" t="str">
        <f>$B55&amp;CHAR(10)&amp;ConvertCode(OpCode!K55,OpCode!I55,OpCode!H55,"")</f>
        <v>procedure TCPU_6502.op_AND_dp_idX;
var 
  t: iSize8;
  MA: iSize16;
  MV: iSize8;
  b1: iSize8;
begin
  b1:= ReadMem(PC);
  PC:= (PC+1) and $FFFF;
  MA:= ((b1 + X) and $FFFF);
  MV:= ReadMem(MA);
  t:= A and MV;
  A:= (t and $FF);
  F[Flag_Z]:= (t = 0);
  F[Flag_N]:= (t and $80) = $80;
  inc(cycles, 4);
end;</v>
      </c>
      <c r="D55" s="19" t="str">
        <f>IF(OpCode!B55="Y","(*U*)","(* *)")&amp;
" with OpCodes[$"&amp;OpCode!A55&amp;"] do begin" &amp;
" code:= @"&amp;A55&amp;";"&amp;
" inst:= '"&amp;OpCode!C55&amp;"';"&amp;
" fmt:= '"&amp;OpCode!C55&amp;IF(OpCode!D55&lt;&gt;"","'+#9+'"&amp;convertFormat(OpCode!D55),"")&amp;"'"&amp;";"&amp;
" group:= Egroup."&amp;OpCode!E55&amp;";"&amp;
" mode:= Emode."&amp;OpCode!F55&amp;";"&amp;
" len:= "&amp;OpCode!G55&amp;";"&amp;
" cycle:= ["&amp;SUBSTITUTE(OpCode!H55,"|",",")&amp;"];"&amp;
" end;"</f>
        <v>(* *) with OpCodes[$35] do begin code:= @op_AND_dp_idX; inst:= 'AND'; fmt:= 'AND'+#9+'$%.2x,X'; group:= Egroup.logic; mode:= Emode.dp_idx; len:= 2; cycle:= [4]; end;</v>
      </c>
    </row>
    <row r="56" spans="1:4" ht="78.75" x14ac:dyDescent="0.25">
      <c r="A56" s="18" t="str">
        <f>"op"&amp;"_"&amp;OpCode!C56&amp;ConvertFormat2(OpCode!D56)</f>
        <v>op_ROL_dp_idX</v>
      </c>
      <c r="B56" s="19" t="str">
        <f t="shared" si="0"/>
        <v>procedure TCPU_6502.op_ROL_dp_idX;</v>
      </c>
      <c r="C56" s="20" t="str">
        <f>$B56&amp;CHAR(10)&amp;ConvertCode(OpCode!K56,OpCode!I56,OpCode!H56,"")</f>
        <v>procedure TCPU_6502.op_ROL_dp_idX;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56" s="19" t="str">
        <f>IF(OpCode!B56="Y","(*U*)","(* *)")&amp;
" with OpCodes[$"&amp;OpCode!A56&amp;"] do begin" &amp;
" code:= @"&amp;A56&amp;";"&amp;
" inst:= '"&amp;OpCode!C56&amp;"';"&amp;
" fmt:= '"&amp;OpCode!C56&amp;IF(OpCode!D56&lt;&gt;"","'+#9+'"&amp;convertFormat(OpCode!D56),"")&amp;"'"&amp;";"&amp;
" group:= Egroup."&amp;OpCode!E56&amp;";"&amp;
" mode:= Emode."&amp;OpCode!F56&amp;";"&amp;
" len:= "&amp;OpCode!G56&amp;";"&amp;
" cycle:= ["&amp;SUBSTITUTE(OpCode!H56,"|",",")&amp;"];"&amp;
" end;"</f>
        <v>(* *) with OpCodes[$36] do begin code:= @op_ROL_dp_idX; inst:= 'ROL'; fmt:= 'ROL'+#9+'$%.2x,X'; group:= Egroup.logic; mode:= Emode.dp_idx; len:= 2; cycle:= [6]; end;</v>
      </c>
    </row>
    <row r="57" spans="1:4" ht="78.75" x14ac:dyDescent="0.25">
      <c r="A57" s="18" t="str">
        <f>"op"&amp;"_"&amp;OpCode!C57&amp;ConvertFormat2(OpCode!D57)</f>
        <v>op_RMB3_dp</v>
      </c>
      <c r="B57" s="19" t="str">
        <f t="shared" si="0"/>
        <v>procedure TCPU_6502.op_RMB3_dp;</v>
      </c>
      <c r="C57" s="20" t="str">
        <f>$B57&amp;CHAR(10)&amp;ConvertCode(OpCode!K57,OpCode!I57,OpCode!H57,"")</f>
        <v>procedure TCPU_6502.op_RMB3_dp;
begin
  Reset Memory Bit. Resets a specific bit of a byte held on zero page.;
  F[Flag_Z]:= (t = 0);
  inc(cycles, 5);
end;</v>
      </c>
      <c r="D57" s="19" t="str">
        <f>IF(OpCode!B57="Y","(*U*)","(* *)")&amp;
" with OpCodes[$"&amp;OpCode!A57&amp;"] do begin" &amp;
" code:= @"&amp;A57&amp;";"&amp;
" inst:= '"&amp;OpCode!C57&amp;"';"&amp;
" fmt:= '"&amp;OpCode!C57&amp;IF(OpCode!D57&lt;&gt;"","'+#9+'"&amp;convertFormat(OpCode!D57),"")&amp;"'"&amp;";"&amp;
" group:= Egroup."&amp;OpCode!E57&amp;";"&amp;
" mode:= Emode."&amp;OpCode!F57&amp;";"&amp;
" len:= "&amp;OpCode!G57&amp;";"&amp;
" cycle:= ["&amp;SUBSTITUTE(OpCode!H57,"|",",")&amp;"];"&amp;
" end;"</f>
        <v>(* *) with OpCodes[$37] do begin code:= @op_RMB3_dp; inst:= 'RMB3'; fmt:= 'RMB3'+#9+'$%.2x'; group:= Egroup.logic; mode:= Emode.dp; len:= 2; cycle:= [5]; end;</v>
      </c>
    </row>
    <row r="58" spans="1:4" ht="78.75" x14ac:dyDescent="0.25">
      <c r="A58" s="18" t="str">
        <f>"op"&amp;"_"&amp;OpCode!C58&amp;ConvertFormat2(OpCode!D58)</f>
        <v>op_SEC</v>
      </c>
      <c r="B58" s="19" t="str">
        <f t="shared" si="0"/>
        <v>procedure TCPU_6502.op_SEC;</v>
      </c>
      <c r="C58" s="20" t="str">
        <f>$B58&amp;CHAR(10)&amp;ConvertCode(OpCode!K58,OpCode!I58,OpCode!H58,"")</f>
        <v>procedure TCPU_6502.op_SEC;
begin
  c:= ((1) and $FF);
  F[Flag_c]:= true;
  inc(cycles, 2);
end;</v>
      </c>
      <c r="D58" s="19" t="str">
        <f>IF(OpCode!B58="Y","(*U*)","(* *)")&amp;
" with OpCodes[$"&amp;OpCode!A58&amp;"] do begin" &amp;
" code:= @"&amp;A58&amp;";"&amp;
" inst:= '"&amp;OpCode!C58&amp;"';"&amp;
" fmt:= '"&amp;OpCode!C58&amp;IF(OpCode!D58&lt;&gt;"","'+#9+'"&amp;convertFormat(OpCode!D58),"")&amp;"'"&amp;";"&amp;
" group:= Egroup."&amp;OpCode!E58&amp;";"&amp;
" mode:= Emode."&amp;OpCode!F58&amp;";"&amp;
" len:= "&amp;OpCode!G58&amp;";"&amp;
" cycle:= ["&amp;SUBSTITUTE(OpCode!H58,"|",",")&amp;"];"&amp;
" end;"</f>
        <v>(* *) with OpCodes[$38] do begin code:= @op_SEC; inst:= 'SEC'; fmt:= 'SEC'; group:= Egroup.control; mode:= Emode.imp; len:= 1; cycle:= [2]; end;</v>
      </c>
    </row>
    <row r="59" spans="1:4" ht="78.75" x14ac:dyDescent="0.25">
      <c r="A59" s="18" t="str">
        <f>"op"&amp;"_"&amp;OpCode!C59&amp;ConvertFormat2(OpCode!D59)</f>
        <v>op_AND_abs_idY</v>
      </c>
      <c r="B59" s="19" t="str">
        <f t="shared" si="0"/>
        <v>procedure TCPU_6502.op_AND_abs_idY;</v>
      </c>
      <c r="C59" s="20" t="str">
        <f>$B59&amp;CHAR(10)&amp;ConvertCode(OpCode!K59,OpCode!I59,OpCode!H59,"")</f>
        <v>procedure TCPU_6502.op_AND_abs_idY;
var 
  t: iSize8;
  MA: iSize16;
  MV: iSize8;
  b1: iSize8;
  b2: iSize8;
begin
  b1:= ReadMem(PC);
  PC:= (PC+1) and $FFFF;
  b2:= ReadMem(PC);
  PC:= (PC+1) and $FFFF;
  MA:= ((b1 + b2 shl 8 + Y) and $FFFF);
  MV:= ReadMem(MA);
  t:= A and MV;
  A:= (t and $FF);
  F[Flag_Z]:= (t = 0);
  F[Flag_N]:= (t and $80) = $80;
  inc(cycles, 4);
end;</v>
      </c>
      <c r="D59" s="19" t="str">
        <f>IF(OpCode!B59="Y","(*U*)","(* *)")&amp;
" with OpCodes[$"&amp;OpCode!A59&amp;"] do begin" &amp;
" code:= @"&amp;A59&amp;";"&amp;
" inst:= '"&amp;OpCode!C59&amp;"';"&amp;
" fmt:= '"&amp;OpCode!C59&amp;IF(OpCode!D59&lt;&gt;"","'+#9+'"&amp;convertFormat(OpCode!D59),"")&amp;"'"&amp;";"&amp;
" group:= Egroup."&amp;OpCode!E59&amp;";"&amp;
" mode:= Emode."&amp;OpCode!F59&amp;";"&amp;
" len:= "&amp;OpCode!G59&amp;";"&amp;
" cycle:= ["&amp;SUBSTITUTE(OpCode!H59,"|",",")&amp;"];"&amp;
" end;"</f>
        <v>(* *) with OpCodes[$39] do begin code:= @op_AND_abs_idY; inst:= 'AND'; fmt:= 'AND'+#9+'$%.4x,Y'; group:= Egroup.logic; mode:= Emode.abs_idx; len:= 3; cycle:= [4]; end;</v>
      </c>
    </row>
    <row r="60" spans="1:4" ht="78.75" x14ac:dyDescent="0.25">
      <c r="A60" s="18" t="str">
        <f>"op"&amp;"_"&amp;OpCode!C60&amp;ConvertFormat2(OpCode!D60)</f>
        <v>op_DEC_A</v>
      </c>
      <c r="B60" s="19" t="str">
        <f t="shared" si="0"/>
        <v>procedure TCPU_6502.op_DEC_A;</v>
      </c>
      <c r="C60" s="20" t="str">
        <f>$B60&amp;CHAR(10)&amp;ConvertCode(OpCode!K60,OpCode!I60,OpCode!H60,"")</f>
        <v>procedure TCPU_6502.op_DEC_A;
begin
  A:= ((A - 1) and $FF);
  F[Flag_Z]:= (t = 0);
  F[Flag_N]:= (t and $80) = $80;
  inc(cycles, 2);
end;</v>
      </c>
      <c r="D60" s="19" t="str">
        <f>IF(OpCode!B60="Y","(*U*)","(* *)")&amp;
" with OpCodes[$"&amp;OpCode!A60&amp;"] do begin" &amp;
" code:= @"&amp;A60&amp;";"&amp;
" inst:= '"&amp;OpCode!C60&amp;"';"&amp;
" fmt:= '"&amp;OpCode!C60&amp;IF(OpCode!D60&lt;&gt;"","'+#9+'"&amp;convertFormat(OpCode!D60),"")&amp;"'"&amp;";"&amp;
" group:= Egroup."&amp;OpCode!E60&amp;";"&amp;
" mode:= Emode."&amp;OpCode!F60&amp;";"&amp;
" len:= "&amp;OpCode!G60&amp;";"&amp;
" cycle:= ["&amp;SUBSTITUTE(OpCode!H60,"|",",")&amp;"];"&amp;
" end;"</f>
        <v>(* *) with OpCodes[$3A] do begin code:= @op_DEC_A; inst:= 'DEC'; fmt:= 'DEC'+#9+'A'; group:= Egroup.arith; mode:= Emode.imp; len:= 1; cycle:= [2]; end;</v>
      </c>
    </row>
    <row r="61" spans="1:4" ht="78.75" x14ac:dyDescent="0.25">
      <c r="A61" s="18" t="str">
        <f>"op"&amp;"_"&amp;OpCode!C61&amp;ConvertFormat2(OpCode!D61)</f>
        <v>op_NOP</v>
      </c>
      <c r="B61" s="19" t="str">
        <f t="shared" si="0"/>
        <v>procedure TCPU_6502.op_NOP;</v>
      </c>
      <c r="C61" s="20" t="str">
        <f>$B61&amp;CHAR(10)&amp;ConvertCode(OpCode!K61,OpCode!I61,OpCode!H61,"")</f>
        <v>procedure TCPU_6502.op_NOP;
begin
  No operation;
  inc(cycles, 2);
end;</v>
      </c>
      <c r="D61" s="19" t="str">
        <f>IF(OpCode!B61="Y","(*U*)","(* *)")&amp;
" with OpCodes[$"&amp;OpCode!A61&amp;"] do begin" &amp;
" code:= @"&amp;A61&amp;";"&amp;
" inst:= '"&amp;OpCode!C61&amp;"';"&amp;
" fmt:= '"&amp;OpCode!C61&amp;IF(OpCode!D61&lt;&gt;"","'+#9+'"&amp;convertFormat(OpCode!D61),"")&amp;"'"&amp;";"&amp;
" group:= Egroup."&amp;OpCode!E61&amp;";"&amp;
" mode:= Emode."&amp;OpCode!F61&amp;";"&amp;
" len:= "&amp;OpCode!G61&amp;";"&amp;
" cycle:= ["&amp;SUBSTITUTE(OpCode!H61,"|",",")&amp;"];"&amp;
" end;"</f>
        <v>(* *) with OpCodes[$3B] do begin code:= @op_NOP; inst:= 'NOP'; fmt:= 'NOP'; group:= Egroup.control; mode:= Emode.imp; len:= 1; cycle:= [2]; end;</v>
      </c>
    </row>
    <row r="62" spans="1:4" ht="78.75" x14ac:dyDescent="0.25">
      <c r="A62" s="18" t="str">
        <f>"op"&amp;"_"&amp;OpCode!C62&amp;ConvertFormat2(OpCode!D62)</f>
        <v>op_BIT_abs_idX</v>
      </c>
      <c r="B62" s="19" t="str">
        <f t="shared" si="0"/>
        <v>procedure TCPU_6502.op_BIT_abs_idX;</v>
      </c>
      <c r="C62" s="20" t="str">
        <f>$B62&amp;CHAR(10)&amp;ConvertCode(OpCode!K62,OpCode!I62,OpCode!H62,"")</f>
        <v>procedure TCPU_6502.op_BIT_abs_idX;
var 
  t: iSize8;
  MA: iSize16;
  MV: iSize8;
  b1: iSize8;
  b2: iSize8;
begin
  b1:= ReadMem(PC);
  PC:= (PC+1) and $FFFF;
  b2:= ReadMem(PC);
  PC:= (PC+1) and $FFFF;
  MA:= ((b1 + b2 shl 8 + Y) and $FFFF);
  MV:= ReadMem(MA);
  t:= A and MV;
  F[Flag_V]:= (t&gt;$FF);
  F[Flag_Z]:= (t = 0);
  F[Flag_N]:= (t and $80) = $80;
  inc(cycles, 4);
end;</v>
      </c>
      <c r="D62" s="19" t="str">
        <f>IF(OpCode!B62="Y","(*U*)","(* *)")&amp;
" with OpCodes[$"&amp;OpCode!A62&amp;"] do begin" &amp;
" code:= @"&amp;A62&amp;";"&amp;
" inst:= '"&amp;OpCode!C62&amp;"';"&amp;
" fmt:= '"&amp;OpCode!C62&amp;IF(OpCode!D62&lt;&gt;"","'+#9+'"&amp;convertFormat(OpCode!D62),"")&amp;"'"&amp;";"&amp;
" group:= Egroup."&amp;OpCode!E62&amp;";"&amp;
" mode:= Emode."&amp;OpCode!F62&amp;";"&amp;
" len:= "&amp;OpCode!G62&amp;";"&amp;
" cycle:= ["&amp;SUBSTITUTE(OpCode!H62,"|",",")&amp;"];"&amp;
" end;"</f>
        <v>(* *) with OpCodes[$3C] do begin code:= @op_BIT_abs_idX; inst:= 'BIT'; fmt:= 'BIT'+#9+'$%.4x,X'; group:= Egroup.logic; mode:= Emode.abs_idx; len:= 3; cycle:= [4]; end;</v>
      </c>
    </row>
    <row r="63" spans="1:4" ht="78.75" x14ac:dyDescent="0.25">
      <c r="A63" s="18" t="str">
        <f>"op"&amp;"_"&amp;OpCode!C63&amp;ConvertFormat2(OpCode!D63)</f>
        <v>op_AND_abs_idX</v>
      </c>
      <c r="B63" s="19" t="str">
        <f t="shared" si="0"/>
        <v>procedure TCPU_6502.op_AND_abs_idX;</v>
      </c>
      <c r="C63" s="20" t="str">
        <f>$B63&amp;CHAR(10)&amp;ConvertCode(OpCode!K63,OpCode!I63,OpCode!H63,"")</f>
        <v>procedure TCPU_6502.op_AND_abs_idX;
var 
  t: iSize8;
  MA: iSize16;
  MV: iSize8;
  b1: iSize8;
  b2: iSize8;
begin
  b1:= ReadMem(PC);
  PC:= (PC+1) and $FFFF;
  b2:= ReadMem(PC);
  PC:= (PC+1) and $FFFF;
  MA:= ((b1 + b2 shl 8 + X) and $FFFF);
  MV:= ReadMem(MA);
  t:= A and MV;
  A:= (t and $FF);
  F[Flag_Z]:= (t = 0);
  F[Flag_N]:= (t and $80) = $80;
  inc(cycles, 4);
end;</v>
      </c>
      <c r="D63" s="19" t="str">
        <f>IF(OpCode!B63="Y","(*U*)","(* *)")&amp;
" with OpCodes[$"&amp;OpCode!A63&amp;"] do begin" &amp;
" code:= @"&amp;A63&amp;";"&amp;
" inst:= '"&amp;OpCode!C63&amp;"';"&amp;
" fmt:= '"&amp;OpCode!C63&amp;IF(OpCode!D63&lt;&gt;"","'+#9+'"&amp;convertFormat(OpCode!D63),"")&amp;"'"&amp;";"&amp;
" group:= Egroup."&amp;OpCode!E63&amp;";"&amp;
" mode:= Emode."&amp;OpCode!F63&amp;";"&amp;
" len:= "&amp;OpCode!G63&amp;";"&amp;
" cycle:= ["&amp;SUBSTITUTE(OpCode!H63,"|",",")&amp;"];"&amp;
" end;"</f>
        <v>(* *) with OpCodes[$3D] do begin code:= @op_AND_abs_idX; inst:= 'AND'; fmt:= 'AND'+#9+'$%.4x,X'; group:= Egroup.logic; mode:= Emode.abs_idx; len:= 3; cycle:= [4]; end;</v>
      </c>
    </row>
    <row r="64" spans="1:4" ht="78.75" x14ac:dyDescent="0.25">
      <c r="A64" s="18" t="str">
        <f>"op"&amp;"_"&amp;OpCode!C64&amp;ConvertFormat2(OpCode!D64)</f>
        <v>op_ROL_abs_idX</v>
      </c>
      <c r="B64" s="19" t="str">
        <f t="shared" si="0"/>
        <v>procedure TCPU_6502.op_ROL_abs_idX;</v>
      </c>
      <c r="C64" s="20" t="str">
        <f>$B64&amp;CHAR(10)&amp;ConvertCode(OpCode!K64,OpCode!I64,OpCode!H64,"")</f>
        <v>procedure TCPU_6502.op_ROL_abs_idX;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64" s="19" t="str">
        <f>IF(OpCode!B64="Y","(*U*)","(* *)")&amp;
" with OpCodes[$"&amp;OpCode!A64&amp;"] do begin" &amp;
" code:= @"&amp;A64&amp;";"&amp;
" inst:= '"&amp;OpCode!C64&amp;"';"&amp;
" fmt:= '"&amp;OpCode!C64&amp;IF(OpCode!D64&lt;&gt;"","'+#9+'"&amp;convertFormat(OpCode!D64),"")&amp;"'"&amp;";"&amp;
" group:= Egroup."&amp;OpCode!E64&amp;";"&amp;
" mode:= Emode."&amp;OpCode!F64&amp;";"&amp;
" len:= "&amp;OpCode!G64&amp;";"&amp;
" cycle:= ["&amp;SUBSTITUTE(OpCode!H64,"|",",")&amp;"];"&amp;
" end;"</f>
        <v>(* *) with OpCodes[$3E] do begin code:= @op_ROL_abs_idX; inst:= 'ROL'; fmt:= 'ROL'+#9+'$%.4x,X'; group:= Egroup.logic; mode:= Emode.abs_idx; len:= 3; cycle:= [7]; end;</v>
      </c>
    </row>
    <row r="65" spans="1:4" ht="78.75" x14ac:dyDescent="0.25">
      <c r="A65" s="18" t="str">
        <f>"op"&amp;"_"&amp;OpCode!C65&amp;ConvertFormat2(OpCode!D65)</f>
        <v>op_BBR3_dp,rel8</v>
      </c>
      <c r="B65" s="19" t="str">
        <f t="shared" si="0"/>
        <v>procedure TCPU_6502.op_BBR3_dp,rel8;</v>
      </c>
      <c r="C65" s="20" t="str">
        <f>$B65&amp;CHAR(10)&amp;ConvertCode(OpCode!K65,OpCode!I65,OpCode!H65,"")</f>
        <v>procedure TCPU_6502.op_BBR3_dp,rel8;
begin
  Branch on Bit Reset. Tests a specific bit of a byte held on zero page and causes a branch of the bit is resest (0);
  inc(cycles, 2|3);
end;</v>
      </c>
      <c r="D65" s="19" t="str">
        <f>IF(OpCode!B65="Y","(*U*)","(* *)")&amp;
" with OpCodes[$"&amp;OpCode!A65&amp;"] do begin" &amp;
" code:= @"&amp;A65&amp;";"&amp;
" inst:= '"&amp;OpCode!C65&amp;"';"&amp;
" fmt:= '"&amp;OpCode!C65&amp;IF(OpCode!D65&lt;&gt;"","'+#9+'"&amp;convertFormat(OpCode!D65),"")&amp;"'"&amp;";"&amp;
" group:= Egroup."&amp;OpCode!E65&amp;";"&amp;
" mode:= Emode."&amp;OpCode!F65&amp;";"&amp;
" len:= "&amp;OpCode!G65&amp;";"&amp;
" cycle:= ["&amp;SUBSTITUTE(OpCode!H65,"|",",")&amp;"];"&amp;
" end;"</f>
        <v>(* *) with OpCodes[$3F] do begin code:= @op_BBR3_dp,rel8; inst:= 'BBR3'; fmt:= 'BBR3'+#9+'$%.2x,%d'; group:= Egroup.branch; mode:= Emode.dp_rel; len:= 3; cycle:= [2,3]; end;</v>
      </c>
    </row>
    <row r="66" spans="1:4" ht="78.75" x14ac:dyDescent="0.25">
      <c r="A66" s="18" t="str">
        <f>"op"&amp;"_"&amp;OpCode!C66&amp;ConvertFormat2(OpCode!D66)</f>
        <v>op_RTI</v>
      </c>
      <c r="B66" s="19" t="str">
        <f t="shared" si="0"/>
        <v>procedure TCPU_6502.op_RTI;</v>
      </c>
      <c r="C66" s="20" t="str">
        <f>$B66&amp;CHAR(10)&amp;ConvertCode(OpCode!K66,OpCode!I66,OpCode!H66,"")</f>
        <v>procedure TCPU_6502.op_RTI;
begin
  P:= ReadMem($100+SP);
  SP:= (SP + 1) and $FF; 
  b1:= ReadMem($100+SP);
  SP:= (SP + 1) and $FF;
  b2:= ReadMem($100+SP);
  SP:= (SP + 1) and $FF;
  PC:= b1 + b2 shr 8;
  F[Flag_V]:= (t&gt;$FF);
  F[Flag_Z]:= (t = 0);
  F[Flag_N]:= (t and $80) = $80;
  F[Flag_C]:= (t and $100) = $100;  
  inc(cycles, 6);
end;</v>
      </c>
      <c r="D66" s="19" t="str">
        <f>IF(OpCode!B66="Y","(*U*)","(* *)")&amp;
" with OpCodes[$"&amp;OpCode!A66&amp;"] do begin" &amp;
" code:= @"&amp;A66&amp;";"&amp;
" inst:= '"&amp;OpCode!C66&amp;"';"&amp;
" fmt:= '"&amp;OpCode!C66&amp;IF(OpCode!D66&lt;&gt;"","'+#9+'"&amp;convertFormat(OpCode!D66),"")&amp;"'"&amp;";"&amp;
" group:= Egroup."&amp;OpCode!E66&amp;";"&amp;
" mode:= Emode."&amp;OpCode!F66&amp;";"&amp;
" len:= "&amp;OpCode!G66&amp;";"&amp;
" cycle:= ["&amp;SUBSTITUTE(OpCode!H66,"|",",")&amp;"];"&amp;
" end;"</f>
        <v>(* *) with OpCodes[$40] do begin code:= @op_RTI; inst:= 'RTI'; fmt:= 'RTI'; group:= Egroup.branch; mode:= Emode.imp; len:= 1; cycle:= [6]; end;</v>
      </c>
    </row>
    <row r="67" spans="1:4" ht="78.75" x14ac:dyDescent="0.25">
      <c r="A67" s="18" t="str">
        <f>"op"&amp;"_"&amp;OpCode!C67&amp;ConvertFormat2(OpCode!D67)</f>
        <v>op_EOR_dp_idX_ind</v>
      </c>
      <c r="B67" s="19" t="str">
        <f t="shared" ref="B67:B130" si="1">"procedure TCPU_6502."&amp;$A67&amp;";"</f>
        <v>procedure TCPU_6502.op_EOR_dp_idX_ind;</v>
      </c>
      <c r="C67" s="20" t="str">
        <f>$B67&amp;CHAR(10)&amp;ConvertCode(OpCode!K67,OpCode!I67,OpCode!H67,"")</f>
        <v>procedure TCPU_6502.op_EOR_dp_idX_ind;
var 
  t: iSize8;
  MA: iSize16;
  MV: iSize8;
  b1: iSize8;
begin
  b1:= ReadMem(PC);
  PC:= (PC+1) and $FFFF;
  MA:= ((b1 + X) and $FFFF);
  MA:= ReadMem(MA)+256*ReadMem((MA+1) and $FFFF);
  MV:= ReadMem(MA);
  t:= A xor MV;
  A:= (t and $FF);
  F[Flag_Z]:= (t = 0);
  F[Flag_N]:= (t and $80) = $80;
  inc(cycles, 6);
end;</v>
      </c>
      <c r="D67" s="19" t="str">
        <f>IF(OpCode!B67="Y","(*U*)","(* *)")&amp;
" with OpCodes[$"&amp;OpCode!A67&amp;"] do begin" &amp;
" code:= @"&amp;A67&amp;";"&amp;
" inst:= '"&amp;OpCode!C67&amp;"';"&amp;
" fmt:= '"&amp;OpCode!C67&amp;IF(OpCode!D67&lt;&gt;"","'+#9+'"&amp;convertFormat(OpCode!D67),"")&amp;"'"&amp;";"&amp;
" group:= Egroup."&amp;OpCode!E67&amp;";"&amp;
" mode:= Emode."&amp;OpCode!F67&amp;";"&amp;
" len:= "&amp;OpCode!G67&amp;";"&amp;
" cycle:= ["&amp;SUBSTITUTE(OpCode!H67,"|",",")&amp;"];"&amp;
" end;"</f>
        <v>(* *) with OpCodes[$41] do begin code:= @op_EOR_dp_idX_ind; inst:= 'EOR'; fmt:= 'EOR'+#9+'($%.2x,X)'; group:= Egroup.logic; mode:= Emode.dp_idx_ind; len:= 2; cycle:= [6]; end;</v>
      </c>
    </row>
    <row r="68" spans="1:4" ht="78.75" x14ac:dyDescent="0.25">
      <c r="A68" s="18" t="str">
        <f>"op"&amp;"_"&amp;OpCode!C68&amp;ConvertFormat2(OpCode!D68)</f>
        <v>op_NOP</v>
      </c>
      <c r="B68" s="19" t="str">
        <f t="shared" si="1"/>
        <v>procedure TCPU_6502.op_NOP;</v>
      </c>
      <c r="C68" s="20" t="str">
        <f>$B68&amp;CHAR(10)&amp;ConvertCode(OpCode!K68,OpCode!I68,OpCode!H68,"")</f>
        <v>procedure TCPU_6502.op_NOP;
begin
  No operation;
  inc(cycles, 2);
end;</v>
      </c>
      <c r="D68" s="19" t="str">
        <f>IF(OpCode!B68="Y","(*U*)","(* *)")&amp;
" with OpCodes[$"&amp;OpCode!A68&amp;"] do begin" &amp;
" code:= @"&amp;A68&amp;";"&amp;
" inst:= '"&amp;OpCode!C68&amp;"';"&amp;
" fmt:= '"&amp;OpCode!C68&amp;IF(OpCode!D68&lt;&gt;"","'+#9+'"&amp;convertFormat(OpCode!D68),"")&amp;"'"&amp;";"&amp;
" group:= Egroup."&amp;OpCode!E68&amp;";"&amp;
" mode:= Emode."&amp;OpCode!F68&amp;";"&amp;
" len:= "&amp;OpCode!G68&amp;";"&amp;
" cycle:= ["&amp;SUBSTITUTE(OpCode!H68,"|",",")&amp;"];"&amp;
" end;"</f>
        <v>(* *) with OpCodes[$42] do begin code:= @op_NOP; inst:= 'NOP'; fmt:= 'NOP'; group:= Egroup.control; mode:= Emode.imp; len:= 1; cycle:= [2]; end;</v>
      </c>
    </row>
    <row r="69" spans="1:4" ht="78.75" x14ac:dyDescent="0.25">
      <c r="A69" s="18" t="str">
        <f>"op"&amp;"_"&amp;OpCode!C69&amp;ConvertFormat2(OpCode!D69)</f>
        <v>op_NOP</v>
      </c>
      <c r="B69" s="19" t="str">
        <f t="shared" si="1"/>
        <v>procedure TCPU_6502.op_NOP;</v>
      </c>
      <c r="C69" s="20" t="str">
        <f>$B69&amp;CHAR(10)&amp;ConvertCode(OpCode!K69,OpCode!I69,OpCode!H69,"")</f>
        <v>procedure TCPU_6502.op_NOP;
begin
  No operation;
  inc(cycles, 2);
end;</v>
      </c>
      <c r="D69" s="19" t="str">
        <f>IF(OpCode!B69="Y","(*U*)","(* *)")&amp;
" with OpCodes[$"&amp;OpCode!A69&amp;"] do begin" &amp;
" code:= @"&amp;A69&amp;";"&amp;
" inst:= '"&amp;OpCode!C69&amp;"';"&amp;
" fmt:= '"&amp;OpCode!C69&amp;IF(OpCode!D69&lt;&gt;"","'+#9+'"&amp;convertFormat(OpCode!D69),"")&amp;"'"&amp;";"&amp;
" group:= Egroup."&amp;OpCode!E69&amp;";"&amp;
" mode:= Emode."&amp;OpCode!F69&amp;";"&amp;
" len:= "&amp;OpCode!G69&amp;";"&amp;
" cycle:= ["&amp;SUBSTITUTE(OpCode!H69,"|",",")&amp;"];"&amp;
" end;"</f>
        <v>(* *) with OpCodes[$43] do begin code:= @op_NOP; inst:= 'NOP'; fmt:= 'NOP'; group:= Egroup.control; mode:= Emode.imp; len:= 1; cycle:= [2]; end;</v>
      </c>
    </row>
    <row r="70" spans="1:4" ht="78.75" x14ac:dyDescent="0.25">
      <c r="A70" s="18" t="str">
        <f>"op"&amp;"_"&amp;OpCode!C70&amp;ConvertFormat2(OpCode!D70)</f>
        <v>op_NOP</v>
      </c>
      <c r="B70" s="19" t="str">
        <f t="shared" si="1"/>
        <v>procedure TCPU_6502.op_NOP;</v>
      </c>
      <c r="C70" s="20" t="str">
        <f>$B70&amp;CHAR(10)&amp;ConvertCode(OpCode!K70,OpCode!I70,OpCode!H70,"")</f>
        <v>procedure TCPU_6502.op_NOP;
begin
  No operation;
  inc(cycles, 2);
end;</v>
      </c>
      <c r="D70" s="19" t="str">
        <f>IF(OpCode!B70="Y","(*U*)","(* *)")&amp;
" with OpCodes[$"&amp;OpCode!A70&amp;"] do begin" &amp;
" code:= @"&amp;A70&amp;";"&amp;
" inst:= '"&amp;OpCode!C70&amp;"';"&amp;
" fmt:= '"&amp;OpCode!C70&amp;IF(OpCode!D70&lt;&gt;"","'+#9+'"&amp;convertFormat(OpCode!D70),"")&amp;"'"&amp;";"&amp;
" group:= Egroup."&amp;OpCode!E70&amp;";"&amp;
" mode:= Emode."&amp;OpCode!F70&amp;";"&amp;
" len:= "&amp;OpCode!G70&amp;";"&amp;
" cycle:= ["&amp;SUBSTITUTE(OpCode!H70,"|",",")&amp;"];"&amp;
" end;"</f>
        <v>(* *) with OpCodes[$44] do begin code:= @op_NOP; inst:= 'NOP'; fmt:= 'NOP'; group:= Egroup.control; mode:= Emode.imp; len:= 1; cycle:= [2]; end;</v>
      </c>
    </row>
    <row r="71" spans="1:4" ht="78.75" x14ac:dyDescent="0.25">
      <c r="A71" s="18" t="str">
        <f>"op"&amp;"_"&amp;OpCode!C71&amp;ConvertFormat2(OpCode!D71)</f>
        <v>op_EOR_dp</v>
      </c>
      <c r="B71" s="19" t="str">
        <f t="shared" si="1"/>
        <v>procedure TCPU_6502.op_EOR_dp;</v>
      </c>
      <c r="C71" s="20" t="str">
        <f>$B71&amp;CHAR(10)&amp;ConvertCode(OpCode!K71,OpCode!I71,OpCode!H71,"")</f>
        <v>procedure TCPU_6502.op_EOR_dp;
var 
  t: iSize8;
  MA: iSize16;
  MV: iSize8;
  b1: iSize8;
begin
  b1:= ReadMem(PC);
  PC:= (PC+1) and $FFFF;
  MA:= b1;
  MV:= ReadMem(MA);
  t:= A xor MV;
  A:= (t and $FF);
  F[Flag_Z]:= (t = 0);
  F[Flag_N]:= (t and $80) = $80;
  inc(cycles, 3);
end;</v>
      </c>
      <c r="D71" s="19" t="str">
        <f>IF(OpCode!B71="Y","(*U*)","(* *)")&amp;
" with OpCodes[$"&amp;OpCode!A71&amp;"] do begin" &amp;
" code:= @"&amp;A71&amp;";"&amp;
" inst:= '"&amp;OpCode!C71&amp;"';"&amp;
" fmt:= '"&amp;OpCode!C71&amp;IF(OpCode!D71&lt;&gt;"","'+#9+'"&amp;convertFormat(OpCode!D71),"")&amp;"'"&amp;";"&amp;
" group:= Egroup."&amp;OpCode!E71&amp;";"&amp;
" mode:= Emode."&amp;OpCode!F71&amp;";"&amp;
" len:= "&amp;OpCode!G71&amp;";"&amp;
" cycle:= ["&amp;SUBSTITUTE(OpCode!H71,"|",",")&amp;"];"&amp;
" end;"</f>
        <v>(* *) with OpCodes[$45] do begin code:= @op_EOR_dp; inst:= 'EOR'; fmt:= 'EOR'+#9+'$%.2x'; group:= Egroup.logic; mode:= Emode.dp; len:= 2; cycle:= [3]; end;</v>
      </c>
    </row>
    <row r="72" spans="1:4" ht="78.75" x14ac:dyDescent="0.25">
      <c r="A72" s="18" t="str">
        <f>"op"&amp;"_"&amp;OpCode!C72&amp;ConvertFormat2(OpCode!D72)</f>
        <v>op_LSR_dp</v>
      </c>
      <c r="B72" s="19" t="str">
        <f t="shared" si="1"/>
        <v>procedure TCPU_6502.op_LSR_dp;</v>
      </c>
      <c r="C72" s="20" t="str">
        <f>$B72&amp;CHAR(10)&amp;ConvertCode(OpCode!K72,OpCode!I72,OpCode!H72,"")</f>
        <v>procedure TCPU_6502.op_LSR_dp;
var 
  t: iSize8;
  MA: iSize16;
  MV: iSize8;
  b1: iSize8;
begin
  b1:= ReadMem(PC);
  PC:= (PC+1) and $FFFF;
  MA:= b1;
  MV:= ReadMem(MA);
  t:= MV  shr  1;
  WriteMem(MA, t and $FF);
  F[Flag_Z]:= (t = 0);
  F[Flag_C]:= (t and $100) = $100;  
  F[Flag_N]:= false;
  inc(cycles, 5);
end;</v>
      </c>
      <c r="D72" s="19" t="str">
        <f>IF(OpCode!B72="Y","(*U*)","(* *)")&amp;
" with OpCodes[$"&amp;OpCode!A72&amp;"] do begin" &amp;
" code:= @"&amp;A72&amp;";"&amp;
" inst:= '"&amp;OpCode!C72&amp;"';"&amp;
" fmt:= '"&amp;OpCode!C72&amp;IF(OpCode!D72&lt;&gt;"","'+#9+'"&amp;convertFormat(OpCode!D72),"")&amp;"'"&amp;";"&amp;
" group:= Egroup."&amp;OpCode!E72&amp;";"&amp;
" mode:= Emode."&amp;OpCode!F72&amp;";"&amp;
" len:= "&amp;OpCode!G72&amp;";"&amp;
" cycle:= ["&amp;SUBSTITUTE(OpCode!H72,"|",",")&amp;"];"&amp;
" end;"</f>
        <v>(* *) with OpCodes[$46] do begin code:= @op_LSR_dp; inst:= 'LSR'; fmt:= 'LSR'+#9+'$%.2x'; group:= Egroup.logic; mode:= Emode.dp; len:= 2; cycle:= [5]; end;</v>
      </c>
    </row>
    <row r="73" spans="1:4" ht="78.75" x14ac:dyDescent="0.25">
      <c r="A73" s="18" t="str">
        <f>"op"&amp;"_"&amp;OpCode!C73&amp;ConvertFormat2(OpCode!D73)</f>
        <v>op_RMB4_dp</v>
      </c>
      <c r="B73" s="19" t="str">
        <f t="shared" si="1"/>
        <v>procedure TCPU_6502.op_RMB4_dp;</v>
      </c>
      <c r="C73" s="20" t="str">
        <f>$B73&amp;CHAR(10)&amp;ConvertCode(OpCode!K73,OpCode!I73,OpCode!H73,"")</f>
        <v>procedure TCPU_6502.op_RMB4_dp;
begin
  Reset Memory Bit. Resets a specific bit of a byte held on zero page.;
  F[Flag_Z]:= (t = 0);
  inc(cycles, 5);
end;</v>
      </c>
      <c r="D73" s="19" t="str">
        <f>IF(OpCode!B73="Y","(*U*)","(* *)")&amp;
" with OpCodes[$"&amp;OpCode!A73&amp;"] do begin" &amp;
" code:= @"&amp;A73&amp;";"&amp;
" inst:= '"&amp;OpCode!C73&amp;"';"&amp;
" fmt:= '"&amp;OpCode!C73&amp;IF(OpCode!D73&lt;&gt;"","'+#9+'"&amp;convertFormat(OpCode!D73),"")&amp;"'"&amp;";"&amp;
" group:= Egroup."&amp;OpCode!E73&amp;";"&amp;
" mode:= Emode."&amp;OpCode!F73&amp;";"&amp;
" len:= "&amp;OpCode!G73&amp;";"&amp;
" cycle:= ["&amp;SUBSTITUTE(OpCode!H73,"|",",")&amp;"];"&amp;
" end;"</f>
        <v>(* *) with OpCodes[$47] do begin code:= @op_RMB4_dp; inst:= 'RMB4'; fmt:= 'RMB4'+#9+'$%.2x'; group:= Egroup.logic; mode:= Emode.dp; len:= 2; cycle:= [5]; end;</v>
      </c>
    </row>
    <row r="74" spans="1:4" ht="78.75" x14ac:dyDescent="0.25">
      <c r="A74" s="18" t="str">
        <f>"op"&amp;"_"&amp;OpCode!C74&amp;ConvertFormat2(OpCode!D74)</f>
        <v>op_PHA</v>
      </c>
      <c r="B74" s="19" t="str">
        <f t="shared" si="1"/>
        <v>procedure TCPU_6502.op_PHA;</v>
      </c>
      <c r="C74" s="20" t="str">
        <f>$B74&amp;CHAR(10)&amp;ConvertCode(OpCode!K74,OpCode!I74,OpCode!H74,"")</f>
        <v>procedure TCPU_6502.op_PHA;
begin
  SP:= (SP - 1) and $FF; 
  WriteMem($100+SP, A);
  inc(cycles, 3);
end;</v>
      </c>
      <c r="D74" s="19" t="str">
        <f>IF(OpCode!B74="Y","(*U*)","(* *)")&amp;
" with OpCodes[$"&amp;OpCode!A74&amp;"] do begin" &amp;
" code:= @"&amp;A74&amp;";"&amp;
" inst:= '"&amp;OpCode!C74&amp;"';"&amp;
" fmt:= '"&amp;OpCode!C74&amp;IF(OpCode!D74&lt;&gt;"","'+#9+'"&amp;convertFormat(OpCode!D74),"")&amp;"'"&amp;";"&amp;
" group:= Egroup."&amp;OpCode!E74&amp;";"&amp;
" mode:= Emode."&amp;OpCode!F74&amp;";"&amp;
" len:= "&amp;OpCode!G74&amp;";"&amp;
" cycle:= ["&amp;SUBSTITUTE(OpCode!H74,"|",",")&amp;"];"&amp;
" end;"</f>
        <v>(* *) with OpCodes[$48] do begin code:= @op_PHA; inst:= 'PHA'; fmt:= 'PHA'; group:= Egroup.stack; mode:= Emode.imp; len:= 1; cycle:= [3]; end;</v>
      </c>
    </row>
    <row r="75" spans="1:4" ht="78.75" x14ac:dyDescent="0.25">
      <c r="A75" s="18" t="str">
        <f>"op"&amp;"_"&amp;OpCode!C75&amp;ConvertFormat2(OpCode!D75)</f>
        <v>op_EOR_imm</v>
      </c>
      <c r="B75" s="19" t="str">
        <f t="shared" si="1"/>
        <v>procedure TCPU_6502.op_EOR_imm;</v>
      </c>
      <c r="C75" s="20" t="str">
        <f>$B75&amp;CHAR(10)&amp;ConvertCode(OpCode!K75,OpCode!I75,OpCode!H75,"")</f>
        <v>procedure TCPU_6502.op_EOR_imm;
var 
  t: iSize8;
  b1: iSize8;
begin
  b1:= ReadMem(PC);
  PC:= (PC+1) and $FFFF;
  t:= A xor b1;
  A:= (t and $FF);
  F[Flag_Z]:= (t = 0);
  F[Flag_N]:= (t and $80) = $80;
  inc(cycles, 2);
end;</v>
      </c>
      <c r="D75" s="19" t="str">
        <f>IF(OpCode!B75="Y","(*U*)","(* *)")&amp;
" with OpCodes[$"&amp;OpCode!A75&amp;"] do begin" &amp;
" code:= @"&amp;A75&amp;";"&amp;
" inst:= '"&amp;OpCode!C75&amp;"';"&amp;
" fmt:= '"&amp;OpCode!C75&amp;IF(OpCode!D75&lt;&gt;"","'+#9+'"&amp;convertFormat(OpCode!D75),"")&amp;"'"&amp;";"&amp;
" group:= Egroup."&amp;OpCode!E75&amp;";"&amp;
" mode:= Emode."&amp;OpCode!F75&amp;";"&amp;
" len:= "&amp;OpCode!G75&amp;";"&amp;
" cycle:= ["&amp;SUBSTITUTE(OpCode!H75,"|",",")&amp;"];"&amp;
" end;"</f>
        <v>(* *) with OpCodes[$49] do begin code:= @op_EOR_imm; inst:= 'EOR'; fmt:= 'EOR'+#9+'#%.2x'; group:= Egroup.logic; mode:= Emode.imm; len:= 2; cycle:= [2]; end;</v>
      </c>
    </row>
    <row r="76" spans="1:4" ht="78.75" x14ac:dyDescent="0.25">
      <c r="A76" s="18" t="str">
        <f>"op"&amp;"_"&amp;OpCode!C76&amp;ConvertFormat2(OpCode!D76)</f>
        <v>op_LSR</v>
      </c>
      <c r="B76" s="19" t="str">
        <f t="shared" si="1"/>
        <v>procedure TCPU_6502.op_LSR;</v>
      </c>
      <c r="C76" s="20" t="str">
        <f>$B76&amp;CHAR(10)&amp;ConvertCode(OpCode!K76,OpCode!I76,OpCode!H76,"")</f>
        <v>procedure TCPU_6502.op_LSR;
var 
  t: iSize8;
begin
  t:= A  shr  1;
  A:= (t and $FF);
  F[Flag_Z]:= (t = 0);
  F[Flag_C]:= (t and $100) = $100;  
  F[Flag_N]:= false;
  inc(cycles, 2);
end;</v>
      </c>
      <c r="D76" s="19" t="str">
        <f>IF(OpCode!B76="Y","(*U*)","(* *)")&amp;
" with OpCodes[$"&amp;OpCode!A76&amp;"] do begin" &amp;
" code:= @"&amp;A76&amp;";"&amp;
" inst:= '"&amp;OpCode!C76&amp;"';"&amp;
" fmt:= '"&amp;OpCode!C76&amp;IF(OpCode!D76&lt;&gt;"","'+#9+'"&amp;convertFormat(OpCode!D76),"")&amp;"'"&amp;";"&amp;
" group:= Egroup."&amp;OpCode!E76&amp;";"&amp;
" mode:= Emode."&amp;OpCode!F76&amp;";"&amp;
" len:= "&amp;OpCode!G76&amp;";"&amp;
" cycle:= ["&amp;SUBSTITUTE(OpCode!H76,"|",",")&amp;"];"&amp;
" end;"</f>
        <v>(* *) with OpCodes[$4A] do begin code:= @op_LSR; inst:= 'LSR'; fmt:= 'LSR'; group:= Egroup.logic; mode:= Emode.imp; len:= 1; cycle:= [2]; end;</v>
      </c>
    </row>
    <row r="77" spans="1:4" ht="78.75" x14ac:dyDescent="0.25">
      <c r="A77" s="18" t="str">
        <f>"op"&amp;"_"&amp;OpCode!C77&amp;ConvertFormat2(OpCode!D77)</f>
        <v>op_NOP</v>
      </c>
      <c r="B77" s="19" t="str">
        <f t="shared" si="1"/>
        <v>procedure TCPU_6502.op_NOP;</v>
      </c>
      <c r="C77" s="20" t="str">
        <f>$B77&amp;CHAR(10)&amp;ConvertCode(OpCode!K77,OpCode!I77,OpCode!H77,"")</f>
        <v>procedure TCPU_6502.op_NOP;
begin
  No operation;
  inc(cycles, 2);
end;</v>
      </c>
      <c r="D77" s="19" t="str">
        <f>IF(OpCode!B77="Y","(*U*)","(* *)")&amp;
" with OpCodes[$"&amp;OpCode!A77&amp;"] do begin" &amp;
" code:= @"&amp;A77&amp;";"&amp;
" inst:= '"&amp;OpCode!C77&amp;"';"&amp;
" fmt:= '"&amp;OpCode!C77&amp;IF(OpCode!D77&lt;&gt;"","'+#9+'"&amp;convertFormat(OpCode!D77),"")&amp;"'"&amp;";"&amp;
" group:= Egroup."&amp;OpCode!E77&amp;";"&amp;
" mode:= Emode."&amp;OpCode!F77&amp;";"&amp;
" len:= "&amp;OpCode!G77&amp;";"&amp;
" cycle:= ["&amp;SUBSTITUTE(OpCode!H77,"|",",")&amp;"];"&amp;
" end;"</f>
        <v>(* *) with OpCodes[$4B] do begin code:= @op_NOP; inst:= 'NOP'; fmt:= 'NOP'; group:= Egroup.control; mode:= Emode.imp; len:= 1; cycle:= [2]; end;</v>
      </c>
    </row>
    <row r="78" spans="1:4" ht="78.75" x14ac:dyDescent="0.25">
      <c r="A78" s="18" t="str">
        <f>"op"&amp;"_"&amp;OpCode!C78&amp;ConvertFormat2(OpCode!D78)</f>
        <v>op_JMP_abs</v>
      </c>
      <c r="B78" s="19" t="str">
        <f t="shared" si="1"/>
        <v>procedure TCPU_6502.op_JMP_abs;</v>
      </c>
      <c r="C78" s="20" t="str">
        <f>$B78&amp;CHAR(10)&amp;ConvertCode(OpCode!K78,OpCode!I78,OpCode!H78,"")</f>
        <v>procedure TCPU_6502.op_JMP_abs;
var 
  MA: iSize16;
  b1: iSize8;
  b2: iSize8;
begin
  b1:= ReadMem(PC);
  PC:= (PC+1) and $FFFF;
  b2:= ReadMem(PC);
  PC:= (PC+1) and $FFFF;
  MA:= b1 + b2 shl 8;
  PC:= MA;
  inc(cycles, 3);
end;</v>
      </c>
      <c r="D78" s="19" t="str">
        <f>IF(OpCode!B78="Y","(*U*)","(* *)")&amp;
" with OpCodes[$"&amp;OpCode!A78&amp;"] do begin" &amp;
" code:= @"&amp;A78&amp;";"&amp;
" inst:= '"&amp;OpCode!C78&amp;"';"&amp;
" fmt:= '"&amp;OpCode!C78&amp;IF(OpCode!D78&lt;&gt;"","'+#9+'"&amp;convertFormat(OpCode!D78),"")&amp;"'"&amp;";"&amp;
" group:= Egroup."&amp;OpCode!E78&amp;";"&amp;
" mode:= Emode."&amp;OpCode!F78&amp;";"&amp;
" len:= "&amp;OpCode!G78&amp;";"&amp;
" cycle:= ["&amp;SUBSTITUTE(OpCode!H78,"|",",")&amp;"];"&amp;
" end;"</f>
        <v>(* *) with OpCodes[$4C] do begin code:= @op_JMP_abs; inst:= 'JMP'; fmt:= 'JMP'+#9+'$%.4x'; group:= Egroup.branch; mode:= Emode.abs; len:= 3; cycle:= [3]; end;</v>
      </c>
    </row>
    <row r="79" spans="1:4" ht="78.75" x14ac:dyDescent="0.25">
      <c r="A79" s="18" t="str">
        <f>"op"&amp;"_"&amp;OpCode!C79&amp;ConvertFormat2(OpCode!D79)</f>
        <v>op_EOR_abs</v>
      </c>
      <c r="B79" s="19" t="str">
        <f t="shared" si="1"/>
        <v>procedure TCPU_6502.op_EOR_abs;</v>
      </c>
      <c r="C79" s="20" t="str">
        <f>$B79&amp;CHAR(10)&amp;ConvertCode(OpCode!K79,OpCode!I79,OpCode!H79,"")</f>
        <v>procedure TCPU_6502.op_EOR_abs;
var 
  t: iSize8;
  MA: iSize16;
  MV: iSize8;
  b1: iSize8;
  b2: iSize8;
begin
  b1:= ReadMem(PC);
  PC:= (PC+1) and $FFFF;
  b2:= ReadMem(PC);
  PC:= (PC+1) and $FFFF;
  MA:= b1 + b2 shl 8;
  MV:= ReadMem(MA);
  t:= A xor MV;
  A:= (t and $FF);
  F[Flag_Z]:= (t = 0);
  F[Flag_N]:= (t and $80) = $80;
  inc(cycles, 4);
end;</v>
      </c>
      <c r="D79" s="19" t="str">
        <f>IF(OpCode!B79="Y","(*U*)","(* *)")&amp;
" with OpCodes[$"&amp;OpCode!A79&amp;"] do begin" &amp;
" code:= @"&amp;A79&amp;";"&amp;
" inst:= '"&amp;OpCode!C79&amp;"';"&amp;
" fmt:= '"&amp;OpCode!C79&amp;IF(OpCode!D79&lt;&gt;"","'+#9+'"&amp;convertFormat(OpCode!D79),"")&amp;"'"&amp;";"&amp;
" group:= Egroup."&amp;OpCode!E79&amp;";"&amp;
" mode:= Emode."&amp;OpCode!F79&amp;";"&amp;
" len:= "&amp;OpCode!G79&amp;";"&amp;
" cycle:= ["&amp;SUBSTITUTE(OpCode!H79,"|",",")&amp;"];"&amp;
" end;"</f>
        <v>(* *) with OpCodes[$4D] do begin code:= @op_EOR_abs; inst:= 'EOR'; fmt:= 'EOR'+#9+'$%.4x'; group:= Egroup.logic; mode:= Emode.abs; len:= 3; cycle:= [4]; end;</v>
      </c>
    </row>
    <row r="80" spans="1:4" ht="78.75" x14ac:dyDescent="0.25">
      <c r="A80" s="18" t="str">
        <f>"op"&amp;"_"&amp;OpCode!C80&amp;ConvertFormat2(OpCode!D80)</f>
        <v>op_LSR_abs</v>
      </c>
      <c r="B80" s="19" t="str">
        <f t="shared" si="1"/>
        <v>procedure TCPU_6502.op_LSR_abs;</v>
      </c>
      <c r="C80" s="20" t="str">
        <f>$B80&amp;CHAR(10)&amp;ConvertCode(OpCode!K80,OpCode!I80,OpCode!H80,"")</f>
        <v>procedure TCPU_6502.op_LSR_abs;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F[Flag_C]:= (t and $100) = $100;  
  F[Flag_N]:= false;
  inc(cycles, 6);
end;</v>
      </c>
      <c r="D80" s="19" t="str">
        <f>IF(OpCode!B80="Y","(*U*)","(* *)")&amp;
" with OpCodes[$"&amp;OpCode!A80&amp;"] do begin" &amp;
" code:= @"&amp;A80&amp;";"&amp;
" inst:= '"&amp;OpCode!C80&amp;"';"&amp;
" fmt:= '"&amp;OpCode!C80&amp;IF(OpCode!D80&lt;&gt;"","'+#9+'"&amp;convertFormat(OpCode!D80),"")&amp;"'"&amp;";"&amp;
" group:= Egroup."&amp;OpCode!E80&amp;";"&amp;
" mode:= Emode."&amp;OpCode!F80&amp;";"&amp;
" len:= "&amp;OpCode!G80&amp;";"&amp;
" cycle:= ["&amp;SUBSTITUTE(OpCode!H80,"|",",")&amp;"];"&amp;
" end;"</f>
        <v>(* *) with OpCodes[$4E] do begin code:= @op_LSR_abs; inst:= 'LSR'; fmt:= 'LSR'+#9+'$%.4x'; group:= Egroup.logic; mode:= Emode.abs; len:= 3; cycle:= [6]; end;</v>
      </c>
    </row>
    <row r="81" spans="1:4" ht="78.75" x14ac:dyDescent="0.25">
      <c r="A81" s="18" t="str">
        <f>"op"&amp;"_"&amp;OpCode!C81&amp;ConvertFormat2(OpCode!D81)</f>
        <v>op_BBR4_dp,rel8</v>
      </c>
      <c r="B81" s="19" t="str">
        <f t="shared" si="1"/>
        <v>procedure TCPU_6502.op_BBR4_dp,rel8;</v>
      </c>
      <c r="C81" s="20" t="str">
        <f>$B81&amp;CHAR(10)&amp;ConvertCode(OpCode!K81,OpCode!I81,OpCode!H81,"")</f>
        <v>procedure TCPU_6502.op_BBR4_dp,rel8;
begin
  Branch on Bit Reset. Tests a specific bit of a byte held on zero page and causes a branch of the bit is resest (0);
  inc(cycles, 2|3);
end;</v>
      </c>
      <c r="D81" s="19" t="str">
        <f>IF(OpCode!B81="Y","(*U*)","(* *)")&amp;
" with OpCodes[$"&amp;OpCode!A81&amp;"] do begin" &amp;
" code:= @"&amp;A81&amp;";"&amp;
" inst:= '"&amp;OpCode!C81&amp;"';"&amp;
" fmt:= '"&amp;OpCode!C81&amp;IF(OpCode!D81&lt;&gt;"","'+#9+'"&amp;convertFormat(OpCode!D81),"")&amp;"'"&amp;";"&amp;
" group:= Egroup."&amp;OpCode!E81&amp;";"&amp;
" mode:= Emode."&amp;OpCode!F81&amp;";"&amp;
" len:= "&amp;OpCode!G81&amp;";"&amp;
" cycle:= ["&amp;SUBSTITUTE(OpCode!H81,"|",",")&amp;"];"&amp;
" end;"</f>
        <v>(* *) with OpCodes[$4F] do begin code:= @op_BBR4_dp,rel8; inst:= 'BBR4'; fmt:= 'BBR4'+#9+'$%.2x,%d'; group:= Egroup.branch; mode:= Emode.dp_rel; len:= 3; cycle:= [2,3]; end;</v>
      </c>
    </row>
    <row r="82" spans="1:4" ht="78.75" x14ac:dyDescent="0.25">
      <c r="A82" s="18" t="str">
        <f>"op"&amp;"_"&amp;OpCode!C82&amp;ConvertFormat2(OpCode!D82)</f>
        <v>op_BVC_rel8</v>
      </c>
      <c r="B82" s="19" t="str">
        <f t="shared" si="1"/>
        <v>procedure TCPU_6502.op_BVC_rel8;</v>
      </c>
      <c r="C82" s="20" t="str">
        <f>$B82&amp;CHAR(10)&amp;ConvertCode(OpCode!K82,OpCode!I82,OpCode!H82,"")</f>
        <v>procedure TCPU_6502.op_BVC_rel8;
var 
  b1: iSize8;
begin
  b1:= ReadMem(PC);
  PC:= (PC+1) and $FFFF;
  if not V  then PC:= ((PC + b1) and $FF);
  inc(cycles, 2|3);
end;</v>
      </c>
      <c r="D82" s="19" t="str">
        <f>IF(OpCode!B82="Y","(*U*)","(* *)")&amp;
" with OpCodes[$"&amp;OpCode!A82&amp;"] do begin" &amp;
" code:= @"&amp;A82&amp;";"&amp;
" inst:= '"&amp;OpCode!C82&amp;"';"&amp;
" fmt:= '"&amp;OpCode!C82&amp;IF(OpCode!D82&lt;&gt;"","'+#9+'"&amp;convertFormat(OpCode!D82),"")&amp;"'"&amp;";"&amp;
" group:= Egroup."&amp;OpCode!E82&amp;";"&amp;
" mode:= Emode."&amp;OpCode!F82&amp;";"&amp;
" len:= "&amp;OpCode!G82&amp;";"&amp;
" cycle:= ["&amp;SUBSTITUTE(OpCode!H82,"|",",")&amp;"];"&amp;
" end;"</f>
        <v>(* *) with OpCodes[$50] do begin code:= @op_BVC_rel8; inst:= 'BVC'; fmt:= 'BVC'+#9+'%d'; group:= Egroup.branch; mode:= Emode.dp_ind; len:= 2; cycle:= [2,3]; end;</v>
      </c>
    </row>
    <row r="83" spans="1:4" ht="78.75" x14ac:dyDescent="0.25">
      <c r="A83" s="18" t="str">
        <f>"op"&amp;"_"&amp;OpCode!C83&amp;ConvertFormat2(OpCode!D83)</f>
        <v>op_EOR_dp_ind_idY</v>
      </c>
      <c r="B83" s="19" t="str">
        <f t="shared" si="1"/>
        <v>procedure TCPU_6502.op_EOR_dp_ind_idY;</v>
      </c>
      <c r="C83" s="20" t="str">
        <f>$B83&amp;CHAR(10)&amp;ConvertCode(OpCode!K83,OpCode!I83,OpCode!H83,"")</f>
        <v>procedure TCPU_6502.op_EOR_dp_ind_idY;
var 
  t: iSize8;
  MA: iSize16;
  MV: iSize8;
  b1: iSize8;
begin
  b1:= ReadMem(PC);
  PC:= (PC+1) and $FFFF;
  MA:= b1;
  MA:= ReadMem(MA)+256*ReadMem((MA+1) and $FFFF) + Y;
  MV:= ReadMem(MA);
  t:= A xor MV;
  A:= (t and $FF);
  F[Flag_Z]:= (t = 0);
  F[Flag_N]:= (t and $80) = $80;
  inc(cycles, 5);
end;</v>
      </c>
      <c r="D83" s="19" t="str">
        <f>IF(OpCode!B83="Y","(*U*)","(* *)")&amp;
" with OpCodes[$"&amp;OpCode!A83&amp;"] do begin" &amp;
" code:= @"&amp;A83&amp;";"&amp;
" inst:= '"&amp;OpCode!C83&amp;"';"&amp;
" fmt:= '"&amp;OpCode!C83&amp;IF(OpCode!D83&lt;&gt;"","'+#9+'"&amp;convertFormat(OpCode!D83),"")&amp;"'"&amp;";"&amp;
" group:= Egroup."&amp;OpCode!E83&amp;";"&amp;
" mode:= Emode."&amp;OpCode!F83&amp;";"&amp;
" len:= "&amp;OpCode!G83&amp;";"&amp;
" cycle:= ["&amp;SUBSTITUTE(OpCode!H83,"|",",")&amp;"];"&amp;
" end;"</f>
        <v>(* *) with OpCodes[$51] do begin code:= @op_EOR_dp_ind_idY; inst:= 'EOR'; fmt:= 'EOR'+#9+'($%.2x),Y'; group:= Egroup.logic; mode:= Emode.dp_ind_idx; len:= 2; cycle:= [5]; end;</v>
      </c>
    </row>
    <row r="84" spans="1:4" ht="78.75" x14ac:dyDescent="0.25">
      <c r="A84" s="18" t="str">
        <f>"op"&amp;"_"&amp;OpCode!C84&amp;ConvertFormat2(OpCode!D84)</f>
        <v>op_EOR_dp_ind</v>
      </c>
      <c r="B84" s="19" t="str">
        <f t="shared" si="1"/>
        <v>procedure TCPU_6502.op_EOR_dp_ind;</v>
      </c>
      <c r="C84" s="20" t="str">
        <f>$B84&amp;CHAR(10)&amp;ConvertCode(OpCode!K84,OpCode!I84,OpCode!H84,"")</f>
        <v>procedure TCPU_6502.op_EOR_dp_ind;
var 
  t: iSize8;
  MA: iSize16;
  MV: iSize8;
  b1: iSize8;
begin
  b1:= ReadMem(PC);
  PC:= (PC+1) and $FFFF;
  MA:= b1;
  MA:= ReadMem(MA)+256*ReadMem((MA+1) and $FFFF);
  MV:= ReadMem(MA);
  t:= A xor MV;
  A:= (t and $FF);
  F[Flag_Z]:= (t = 0);
  F[Flag_N]:= (t and $80) = $80;
  inc(cycles, 5);
end;</v>
      </c>
      <c r="D84" s="19" t="str">
        <f>IF(OpCode!B84="Y","(*U*)","(* *)")&amp;
" with OpCodes[$"&amp;OpCode!A84&amp;"] do begin" &amp;
" code:= @"&amp;A84&amp;";"&amp;
" inst:= '"&amp;OpCode!C84&amp;"';"&amp;
" fmt:= '"&amp;OpCode!C84&amp;IF(OpCode!D84&lt;&gt;"","'+#9+'"&amp;convertFormat(OpCode!D84),"")&amp;"'"&amp;";"&amp;
" group:= Egroup."&amp;OpCode!E84&amp;";"&amp;
" mode:= Emode."&amp;OpCode!F84&amp;";"&amp;
" len:= "&amp;OpCode!G84&amp;";"&amp;
" cycle:= ["&amp;SUBSTITUTE(OpCode!H84,"|",",")&amp;"];"&amp;
" end;"</f>
        <v>(* *) with OpCodes[$52] do begin code:= @op_EOR_dp_ind; inst:= 'EOR'; fmt:= 'EOR'+#9+'($%.2x)'; group:= Egroup.logic; mode:= Emode.dp_ind; len:= 2; cycle:= [5]; end;</v>
      </c>
    </row>
    <row r="85" spans="1:4" ht="78.75" x14ac:dyDescent="0.25">
      <c r="A85" s="18" t="str">
        <f>"op"&amp;"_"&amp;OpCode!C85&amp;ConvertFormat2(OpCode!D85)</f>
        <v>op_NOP</v>
      </c>
      <c r="B85" s="19" t="str">
        <f t="shared" si="1"/>
        <v>procedure TCPU_6502.op_NOP;</v>
      </c>
      <c r="C85" s="20" t="str">
        <f>$B85&amp;CHAR(10)&amp;ConvertCode(OpCode!K85,OpCode!I85,OpCode!H85,"")</f>
        <v>procedure TCPU_6502.op_NOP;
begin
  No operation;
  inc(cycles, 2);
end;</v>
      </c>
      <c r="D85" s="19" t="str">
        <f>IF(OpCode!B85="Y","(*U*)","(* *)")&amp;
" with OpCodes[$"&amp;OpCode!A85&amp;"] do begin" &amp;
" code:= @"&amp;A85&amp;";"&amp;
" inst:= '"&amp;OpCode!C85&amp;"';"&amp;
" fmt:= '"&amp;OpCode!C85&amp;IF(OpCode!D85&lt;&gt;"","'+#9+'"&amp;convertFormat(OpCode!D85),"")&amp;"'"&amp;";"&amp;
" group:= Egroup."&amp;OpCode!E85&amp;";"&amp;
" mode:= Emode."&amp;OpCode!F85&amp;";"&amp;
" len:= "&amp;OpCode!G85&amp;";"&amp;
" cycle:= ["&amp;SUBSTITUTE(OpCode!H85,"|",",")&amp;"];"&amp;
" end;"</f>
        <v>(* *) with OpCodes[$53] do begin code:= @op_NOP; inst:= 'NOP'; fmt:= 'NOP'; group:= Egroup.control; mode:= Emode.imp; len:= 1; cycle:= [2]; end;</v>
      </c>
    </row>
    <row r="86" spans="1:4" ht="78.75" x14ac:dyDescent="0.25">
      <c r="A86" s="18" t="str">
        <f>"op"&amp;"_"&amp;OpCode!C86&amp;ConvertFormat2(OpCode!D86)</f>
        <v>op_NOP</v>
      </c>
      <c r="B86" s="19" t="str">
        <f t="shared" si="1"/>
        <v>procedure TCPU_6502.op_NOP;</v>
      </c>
      <c r="C86" s="20" t="str">
        <f>$B86&amp;CHAR(10)&amp;ConvertCode(OpCode!K86,OpCode!I86,OpCode!H86,"")</f>
        <v>procedure TCPU_6502.op_NOP;
begin
  No operation;
  inc(cycles, 2);
end;</v>
      </c>
      <c r="D86" s="19" t="str">
        <f>IF(OpCode!B86="Y","(*U*)","(* *)")&amp;
" with OpCodes[$"&amp;OpCode!A86&amp;"] do begin" &amp;
" code:= @"&amp;A86&amp;";"&amp;
" inst:= '"&amp;OpCode!C86&amp;"';"&amp;
" fmt:= '"&amp;OpCode!C86&amp;IF(OpCode!D86&lt;&gt;"","'+#9+'"&amp;convertFormat(OpCode!D86),"")&amp;"'"&amp;";"&amp;
" group:= Egroup."&amp;OpCode!E86&amp;";"&amp;
" mode:= Emode."&amp;OpCode!F86&amp;";"&amp;
" len:= "&amp;OpCode!G86&amp;";"&amp;
" cycle:= ["&amp;SUBSTITUTE(OpCode!H86,"|",",")&amp;"];"&amp;
" end;"</f>
        <v>(* *) with OpCodes[$54] do begin code:= @op_NOP; inst:= 'NOP'; fmt:= 'NOP'; group:= Egroup.control; mode:= Emode.imp; len:= 1; cycle:= [2]; end;</v>
      </c>
    </row>
    <row r="87" spans="1:4" ht="78.75" x14ac:dyDescent="0.25">
      <c r="A87" s="18" t="str">
        <f>"op"&amp;"_"&amp;OpCode!C87&amp;ConvertFormat2(OpCode!D87)</f>
        <v>op_EOR_dp_idX</v>
      </c>
      <c r="B87" s="19" t="str">
        <f t="shared" si="1"/>
        <v>procedure TCPU_6502.op_EOR_dp_idX;</v>
      </c>
      <c r="C87" s="20" t="str">
        <f>$B87&amp;CHAR(10)&amp;ConvertCode(OpCode!K87,OpCode!I87,OpCode!H87,"")</f>
        <v>procedure TCPU_6502.op_EOR_dp_idX;
var 
  t: iSize8;
  MA: iSize16;
  MV: iSize8;
  b1: iSize8;
begin
  b1:= ReadMem(PC);
  PC:= (PC+1) and $FFFF;
  MA:= ((b1 + X) and $FFFF);
  MV:= ReadMem(MA);
  t:= A xor MV;
  A:= (t and $FF);
  F[Flag_Z]:= (t = 0);
  F[Flag_N]:= (t and $80) = $80;
  inc(cycles, 4);
end;</v>
      </c>
      <c r="D87" s="19" t="str">
        <f>IF(OpCode!B87="Y","(*U*)","(* *)")&amp;
" with OpCodes[$"&amp;OpCode!A87&amp;"] do begin" &amp;
" code:= @"&amp;A87&amp;";"&amp;
" inst:= '"&amp;OpCode!C87&amp;"';"&amp;
" fmt:= '"&amp;OpCode!C87&amp;IF(OpCode!D87&lt;&gt;"","'+#9+'"&amp;convertFormat(OpCode!D87),"")&amp;"'"&amp;";"&amp;
" group:= Egroup."&amp;OpCode!E87&amp;";"&amp;
" mode:= Emode."&amp;OpCode!F87&amp;";"&amp;
" len:= "&amp;OpCode!G87&amp;";"&amp;
" cycle:= ["&amp;SUBSTITUTE(OpCode!H87,"|",",")&amp;"];"&amp;
" end;"</f>
        <v>(* *) with OpCodes[$55] do begin code:= @op_EOR_dp_idX; inst:= 'EOR'; fmt:= 'EOR'+#9+'$%.2x,X'; group:= Egroup.logic; mode:= Emode.dp_idx; len:= 2; cycle:= [4]; end;</v>
      </c>
    </row>
    <row r="88" spans="1:4" ht="78.75" x14ac:dyDescent="0.25">
      <c r="A88" s="18" t="str">
        <f>"op"&amp;"_"&amp;OpCode!C88&amp;ConvertFormat2(OpCode!D88)</f>
        <v>op_LSR_dp_idX</v>
      </c>
      <c r="B88" s="19" t="str">
        <f t="shared" si="1"/>
        <v>procedure TCPU_6502.op_LSR_dp_idX;</v>
      </c>
      <c r="C88" s="20" t="str">
        <f>$B88&amp;CHAR(10)&amp;ConvertCode(OpCode!K88,OpCode!I88,OpCode!H88,"")</f>
        <v>procedure TCPU_6502.op_LSR_dp_idX;
var 
  t: iSize8;
  MA: iSize16;
  MV: iSize8;
  b1: iSize8;
begin
  b1:= ReadMem(PC);
  PC:= (PC+1) and $FFFF;
  MA:= ((b1 + X) and $FFFF);
  MV:= ReadMem(MA);
  t:= MV  shr  1;
  WriteMem(MA, t and $FF);
  F[Flag_Z]:= (t = 0);
  F[Flag_C]:= (t and $100) = $100;  
  F[Flag_N]:= false;
  inc(cycles, 2);
end;</v>
      </c>
      <c r="D88" s="19" t="str">
        <f>IF(OpCode!B88="Y","(*U*)","(* *)")&amp;
" with OpCodes[$"&amp;OpCode!A88&amp;"] do begin" &amp;
" code:= @"&amp;A88&amp;";"&amp;
" inst:= '"&amp;OpCode!C88&amp;"';"&amp;
" fmt:= '"&amp;OpCode!C88&amp;IF(OpCode!D88&lt;&gt;"","'+#9+'"&amp;convertFormat(OpCode!D88),"")&amp;"'"&amp;";"&amp;
" group:= Egroup."&amp;OpCode!E88&amp;";"&amp;
" mode:= Emode."&amp;OpCode!F88&amp;";"&amp;
" len:= "&amp;OpCode!G88&amp;";"&amp;
" cycle:= ["&amp;SUBSTITUTE(OpCode!H88,"|",",")&amp;"];"&amp;
" end;"</f>
        <v>(* *) with OpCodes[$56] do begin code:= @op_LSR_dp_idX; inst:= 'LSR'; fmt:= 'LSR'+#9+'$%.2x,X'; group:= Egroup.logic; mode:= Emode.dp_idx; len:= 2; cycle:= [2]; end;</v>
      </c>
    </row>
    <row r="89" spans="1:4" ht="78.75" x14ac:dyDescent="0.25">
      <c r="A89" s="18" t="str">
        <f>"op"&amp;"_"&amp;OpCode!C89&amp;ConvertFormat2(OpCode!D89)</f>
        <v>op_RMB5_dp</v>
      </c>
      <c r="B89" s="19" t="str">
        <f t="shared" si="1"/>
        <v>procedure TCPU_6502.op_RMB5_dp;</v>
      </c>
      <c r="C89" s="20" t="str">
        <f>$B89&amp;CHAR(10)&amp;ConvertCode(OpCode!K89,OpCode!I89,OpCode!H89,"")</f>
        <v>procedure TCPU_6502.op_RMB5_dp;
begin
  Reset Memory Bit. Resets a specific bit of a byte held on zero page.;
  F[Flag_Z]:= (t = 0);
  inc(cycles, 5);
end;</v>
      </c>
      <c r="D89" s="19" t="str">
        <f>IF(OpCode!B89="Y","(*U*)","(* *)")&amp;
" with OpCodes[$"&amp;OpCode!A89&amp;"] do begin" &amp;
" code:= @"&amp;A89&amp;";"&amp;
" inst:= '"&amp;OpCode!C89&amp;"';"&amp;
" fmt:= '"&amp;OpCode!C89&amp;IF(OpCode!D89&lt;&gt;"","'+#9+'"&amp;convertFormat(OpCode!D89),"")&amp;"'"&amp;";"&amp;
" group:= Egroup."&amp;OpCode!E89&amp;";"&amp;
" mode:= Emode."&amp;OpCode!F89&amp;";"&amp;
" len:= "&amp;OpCode!G89&amp;";"&amp;
" cycle:= ["&amp;SUBSTITUTE(OpCode!H89,"|",",")&amp;"];"&amp;
" end;"</f>
        <v>(* *) with OpCodes[$57] do begin code:= @op_RMB5_dp; inst:= 'RMB5'; fmt:= 'RMB5'+#9+'$%.2x'; group:= Egroup.logic; mode:= Emode.dp; len:= 2; cycle:= [5]; end;</v>
      </c>
    </row>
    <row r="90" spans="1:4" ht="78.75" x14ac:dyDescent="0.25">
      <c r="A90" s="18" t="str">
        <f>"op"&amp;"_"&amp;OpCode!C90&amp;ConvertFormat2(OpCode!D90)</f>
        <v>op_CLI</v>
      </c>
      <c r="B90" s="19" t="str">
        <f t="shared" si="1"/>
        <v>procedure TCPU_6502.op_CLI;</v>
      </c>
      <c r="C90" s="20" t="str">
        <f>$B90&amp;CHAR(10)&amp;ConvertCode(OpCode!K90,OpCode!I90,OpCode!H90,"")</f>
        <v>procedure TCPU_6502.op_CLI;
begin
  i:= ((0) and $FF);
  F[Flag_i]:= false;
  inc(cycles, 2);
end;</v>
      </c>
      <c r="D90" s="19" t="str">
        <f>IF(OpCode!B90="Y","(*U*)","(* *)")&amp;
" with OpCodes[$"&amp;OpCode!A90&amp;"] do begin" &amp;
" code:= @"&amp;A90&amp;";"&amp;
" inst:= '"&amp;OpCode!C90&amp;"';"&amp;
" fmt:= '"&amp;OpCode!C90&amp;IF(OpCode!D90&lt;&gt;"","'+#9+'"&amp;convertFormat(OpCode!D90),"")&amp;"'"&amp;";"&amp;
" group:= Egroup."&amp;OpCode!E90&amp;";"&amp;
" mode:= Emode."&amp;OpCode!F90&amp;";"&amp;
" len:= "&amp;OpCode!G90&amp;";"&amp;
" cycle:= ["&amp;SUBSTITUTE(OpCode!H90,"|",",")&amp;"];"&amp;
" end;"</f>
        <v>(* *) with OpCodes[$58] do begin code:= @op_CLI; inst:= 'CLI'; fmt:= 'CLI'; group:= Egroup.control; mode:= Emode.imp; len:= 1; cycle:= [2]; end;</v>
      </c>
    </row>
    <row r="91" spans="1:4" ht="78.75" x14ac:dyDescent="0.25">
      <c r="A91" s="18" t="str">
        <f>"op"&amp;"_"&amp;OpCode!C91&amp;ConvertFormat2(OpCode!D91)</f>
        <v>op_EOR_abs_idY</v>
      </c>
      <c r="B91" s="19" t="str">
        <f t="shared" si="1"/>
        <v>procedure TCPU_6502.op_EOR_abs_idY;</v>
      </c>
      <c r="C91" s="20" t="str">
        <f>$B91&amp;CHAR(10)&amp;ConvertCode(OpCode!K91,OpCode!I91,OpCode!H91,"")</f>
        <v>procedure TCPU_6502.op_EOR_abs_idY;
var 
  t: iSize8;
  MA: iSize16;
  MV: iSize8;
  b1: iSize8;
  b2: iSize8;
begin
  b1:= ReadMem(PC);
  PC:= (PC+1) and $FFFF;
  b2:= ReadMem(PC);
  PC:= (PC+1) and $FFFF;
  MA:= ((b1 + b2 shl 8 + Y) and $FFFF);
  MV:= ReadMem(MA);
  t:= A xor MV;
  A:= (t and $FF);
  F[Flag_Z]:= (t = 0);
  F[Flag_N]:= (t and $80) = $80;
  inc(cycles, 4);
end;</v>
      </c>
      <c r="D91" s="19" t="str">
        <f>IF(OpCode!B91="Y","(*U*)","(* *)")&amp;
" with OpCodes[$"&amp;OpCode!A91&amp;"] do begin" &amp;
" code:= @"&amp;A91&amp;";"&amp;
" inst:= '"&amp;OpCode!C91&amp;"';"&amp;
" fmt:= '"&amp;OpCode!C91&amp;IF(OpCode!D91&lt;&gt;"","'+#9+'"&amp;convertFormat(OpCode!D91),"")&amp;"'"&amp;";"&amp;
" group:= Egroup."&amp;OpCode!E91&amp;";"&amp;
" mode:= Emode."&amp;OpCode!F91&amp;";"&amp;
" len:= "&amp;OpCode!G91&amp;";"&amp;
" cycle:= ["&amp;SUBSTITUTE(OpCode!H91,"|",",")&amp;"];"&amp;
" end;"</f>
        <v>(* *) with OpCodes[$59] do begin code:= @op_EOR_abs_idY; inst:= 'EOR'; fmt:= 'EOR'+#9+'$%.4x,Y'; group:= Egroup.logic; mode:= Emode.abs_idx; len:= 3; cycle:= [4]; end;</v>
      </c>
    </row>
    <row r="92" spans="1:4" ht="78.75" x14ac:dyDescent="0.25">
      <c r="A92" s="18" t="str">
        <f>"op"&amp;"_"&amp;OpCode!C92&amp;ConvertFormat2(OpCode!D92)</f>
        <v>op_PHY</v>
      </c>
      <c r="B92" s="19" t="str">
        <f t="shared" si="1"/>
        <v>procedure TCPU_6502.op_PHY;</v>
      </c>
      <c r="C92" s="20" t="str">
        <f>$B92&amp;CHAR(10)&amp;ConvertCode(OpCode!K92,OpCode!I92,OpCode!H92,"")</f>
        <v>procedure TCPU_6502.op_PHY;
begin
  SP:= (SP - 1) and $FF; 
  WriteMem($100+SP, Y);
  inc(cycles, 3);
end;</v>
      </c>
      <c r="D92" s="19" t="str">
        <f>IF(OpCode!B92="Y","(*U*)","(* *)")&amp;
" with OpCodes[$"&amp;OpCode!A92&amp;"] do begin" &amp;
" code:= @"&amp;A92&amp;";"&amp;
" inst:= '"&amp;OpCode!C92&amp;"';"&amp;
" fmt:= '"&amp;OpCode!C92&amp;IF(OpCode!D92&lt;&gt;"","'+#9+'"&amp;convertFormat(OpCode!D92),"")&amp;"'"&amp;";"&amp;
" group:= Egroup."&amp;OpCode!E92&amp;";"&amp;
" mode:= Emode."&amp;OpCode!F92&amp;";"&amp;
" len:= "&amp;OpCode!G92&amp;";"&amp;
" cycle:= ["&amp;SUBSTITUTE(OpCode!H92,"|",",")&amp;"];"&amp;
" end;"</f>
        <v>(* *) with OpCodes[$5A] do begin code:= @op_PHY; inst:= 'PHY'; fmt:= 'PHY'; group:= Egroup.stack; mode:= Emode.imp; len:= 1; cycle:= [3]; end;</v>
      </c>
    </row>
    <row r="93" spans="1:4" ht="78.75" x14ac:dyDescent="0.25">
      <c r="A93" s="18" t="str">
        <f>"op"&amp;"_"&amp;OpCode!C93&amp;ConvertFormat2(OpCode!D93)</f>
        <v>op_NOP</v>
      </c>
      <c r="B93" s="19" t="str">
        <f t="shared" si="1"/>
        <v>procedure TCPU_6502.op_NOP;</v>
      </c>
      <c r="C93" s="20" t="str">
        <f>$B93&amp;CHAR(10)&amp;ConvertCode(OpCode!K93,OpCode!I93,OpCode!H93,"")</f>
        <v>procedure TCPU_6502.op_NOP;
begin
  No operation;
  inc(cycles, 2);
end;</v>
      </c>
      <c r="D93" s="19" t="str">
        <f>IF(OpCode!B93="Y","(*U*)","(* *)")&amp;
" with OpCodes[$"&amp;OpCode!A93&amp;"] do begin" &amp;
" code:= @"&amp;A93&amp;";"&amp;
" inst:= '"&amp;OpCode!C93&amp;"';"&amp;
" fmt:= '"&amp;OpCode!C93&amp;IF(OpCode!D93&lt;&gt;"","'+#9+'"&amp;convertFormat(OpCode!D93),"")&amp;"'"&amp;";"&amp;
" group:= Egroup."&amp;OpCode!E93&amp;";"&amp;
" mode:= Emode."&amp;OpCode!F93&amp;";"&amp;
" len:= "&amp;OpCode!G93&amp;";"&amp;
" cycle:= ["&amp;SUBSTITUTE(OpCode!H93,"|",",")&amp;"];"&amp;
" end;"</f>
        <v>(* *) with OpCodes[$5B] do begin code:= @op_NOP; inst:= 'NOP'; fmt:= 'NOP'; group:= Egroup.control; mode:= Emode.imp; len:= 1; cycle:= [2]; end;</v>
      </c>
    </row>
    <row r="94" spans="1:4" ht="78.75" x14ac:dyDescent="0.25">
      <c r="A94" s="18" t="str">
        <f>"op"&amp;"_"&amp;OpCode!C94&amp;ConvertFormat2(OpCode!D94)</f>
        <v>op_NOP</v>
      </c>
      <c r="B94" s="19" t="str">
        <f t="shared" si="1"/>
        <v>procedure TCPU_6502.op_NOP;</v>
      </c>
      <c r="C94" s="20" t="str">
        <f>$B94&amp;CHAR(10)&amp;ConvertCode(OpCode!K94,OpCode!I94,OpCode!H94,"")</f>
        <v>procedure TCPU_6502.op_NOP;
begin
  No operation;
  inc(cycles, 2);
end;</v>
      </c>
      <c r="D94" s="19" t="str">
        <f>IF(OpCode!B94="Y","(*U*)","(* *)")&amp;
" with OpCodes[$"&amp;OpCode!A94&amp;"] do begin" &amp;
" code:= @"&amp;A94&amp;";"&amp;
" inst:= '"&amp;OpCode!C94&amp;"';"&amp;
" fmt:= '"&amp;OpCode!C94&amp;IF(OpCode!D94&lt;&gt;"","'+#9+'"&amp;convertFormat(OpCode!D94),"")&amp;"'"&amp;";"&amp;
" group:= Egroup."&amp;OpCode!E94&amp;";"&amp;
" mode:= Emode."&amp;OpCode!F94&amp;";"&amp;
" len:= "&amp;OpCode!G94&amp;";"&amp;
" cycle:= ["&amp;SUBSTITUTE(OpCode!H94,"|",",")&amp;"];"&amp;
" end;"</f>
        <v>(* *) with OpCodes[$5C] do begin code:= @op_NOP; inst:= 'NOP'; fmt:= 'NOP'; group:= Egroup.control; mode:= Emode.imp; len:= 1; cycle:= [2]; end;</v>
      </c>
    </row>
    <row r="95" spans="1:4" ht="78.75" x14ac:dyDescent="0.25">
      <c r="A95" s="18" t="str">
        <f>"op"&amp;"_"&amp;OpCode!C95&amp;ConvertFormat2(OpCode!D95)</f>
        <v>op_EOR_abs_idX</v>
      </c>
      <c r="B95" s="19" t="str">
        <f t="shared" si="1"/>
        <v>procedure TCPU_6502.op_EOR_abs_idX;</v>
      </c>
      <c r="C95" s="20" t="str">
        <f>$B95&amp;CHAR(10)&amp;ConvertCode(OpCode!K95,OpCode!I95,OpCode!H95,"")</f>
        <v>procedure TCPU_6502.op_EOR_abs_idX;
var 
  t: iSize8;
  MA: iSize16;
  MV: iSize8;
  b1: iSize8;
  b2: iSize8;
begin
  b1:= ReadMem(PC);
  PC:= (PC+1) and $FFFF;
  b2:= ReadMem(PC);
  PC:= (PC+1) and $FFFF;
  MA:= ((b1 + b2 shl 8 + X) and $FFFF);
  MV:= ReadMem(MA);
  t:= A xor MV;
  A:= (t and $FF);
  F[Flag_Z]:= (t = 0);
  F[Flag_N]:= (t and $80) = $80;
  inc(cycles, 4);
end;</v>
      </c>
      <c r="D95" s="19" t="str">
        <f>IF(OpCode!B95="Y","(*U*)","(* *)")&amp;
" with OpCodes[$"&amp;OpCode!A95&amp;"] do begin" &amp;
" code:= @"&amp;A95&amp;";"&amp;
" inst:= '"&amp;OpCode!C95&amp;"';"&amp;
" fmt:= '"&amp;OpCode!C95&amp;IF(OpCode!D95&lt;&gt;"","'+#9+'"&amp;convertFormat(OpCode!D95),"")&amp;"'"&amp;";"&amp;
" group:= Egroup."&amp;OpCode!E95&amp;";"&amp;
" mode:= Emode."&amp;OpCode!F95&amp;";"&amp;
" len:= "&amp;OpCode!G95&amp;";"&amp;
" cycle:= ["&amp;SUBSTITUTE(OpCode!H95,"|",",")&amp;"];"&amp;
" end;"</f>
        <v>(* *) with OpCodes[$5D] do begin code:= @op_EOR_abs_idX; inst:= 'EOR'; fmt:= 'EOR'+#9+'$%.4x,X'; group:= Egroup.logic; mode:= Emode.abs_idx; len:= 3; cycle:= [4]; end;</v>
      </c>
    </row>
    <row r="96" spans="1:4" ht="78.75" x14ac:dyDescent="0.25">
      <c r="A96" s="18" t="str">
        <f>"op"&amp;"_"&amp;OpCode!C96&amp;ConvertFormat2(OpCode!D96)</f>
        <v>op_LSR_abs_idX</v>
      </c>
      <c r="B96" s="19" t="str">
        <f t="shared" si="1"/>
        <v>procedure TCPU_6502.op_LSR_abs_idX;</v>
      </c>
      <c r="C96" s="20" t="str">
        <f>$B96&amp;CHAR(10)&amp;ConvertCode(OpCode!K96,OpCode!I96,OpCode!H96,"")</f>
        <v>procedure TCPU_6502.op_LSR_abs_idX;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F[Flag_C]:= (t and $100) = $100;  
  F[Flag_N]:= false;
  inc(cycles, 7);
end;</v>
      </c>
      <c r="D96" s="19" t="str">
        <f>IF(OpCode!B96="Y","(*U*)","(* *)")&amp;
" with OpCodes[$"&amp;OpCode!A96&amp;"] do begin" &amp;
" code:= @"&amp;A96&amp;";"&amp;
" inst:= '"&amp;OpCode!C96&amp;"';"&amp;
" fmt:= '"&amp;OpCode!C96&amp;IF(OpCode!D96&lt;&gt;"","'+#9+'"&amp;convertFormat(OpCode!D96),"")&amp;"'"&amp;";"&amp;
" group:= Egroup."&amp;OpCode!E96&amp;";"&amp;
" mode:= Emode."&amp;OpCode!F96&amp;";"&amp;
" len:= "&amp;OpCode!G96&amp;";"&amp;
" cycle:= ["&amp;SUBSTITUTE(OpCode!H96,"|",",")&amp;"];"&amp;
" end;"</f>
        <v>(* *) with OpCodes[$5E] do begin code:= @op_LSR_abs_idX; inst:= 'LSR'; fmt:= 'LSR'+#9+'$%.4x,X'; group:= Egroup.logic; mode:= Emode.abs_idx; len:= 3; cycle:= [7]; end;</v>
      </c>
    </row>
    <row r="97" spans="1:4" ht="78.75" x14ac:dyDescent="0.25">
      <c r="A97" s="18" t="str">
        <f>"op"&amp;"_"&amp;OpCode!C97&amp;ConvertFormat2(OpCode!D97)</f>
        <v>op_BBR5_dp,rel8</v>
      </c>
      <c r="B97" s="19" t="str">
        <f t="shared" si="1"/>
        <v>procedure TCPU_6502.op_BBR5_dp,rel8;</v>
      </c>
      <c r="C97" s="20" t="str">
        <f>$B97&amp;CHAR(10)&amp;ConvertCode(OpCode!K97,OpCode!I97,OpCode!H97,"")</f>
        <v>procedure TCPU_6502.op_BBR5_dp,rel8;
begin
  Branch on Bit Reset. Tests a specific bit of a byte held on zero page and causes a branch of the bit is resest (0);
  inc(cycles, 2|3);
end;</v>
      </c>
      <c r="D97" s="19" t="str">
        <f>IF(OpCode!B97="Y","(*U*)","(* *)")&amp;
" with OpCodes[$"&amp;OpCode!A97&amp;"] do begin" &amp;
" code:= @"&amp;A97&amp;";"&amp;
" inst:= '"&amp;OpCode!C97&amp;"';"&amp;
" fmt:= '"&amp;OpCode!C97&amp;IF(OpCode!D97&lt;&gt;"","'+#9+'"&amp;convertFormat(OpCode!D97),"")&amp;"'"&amp;";"&amp;
" group:= Egroup."&amp;OpCode!E97&amp;";"&amp;
" mode:= Emode."&amp;OpCode!F97&amp;";"&amp;
" len:= "&amp;OpCode!G97&amp;";"&amp;
" cycle:= ["&amp;SUBSTITUTE(OpCode!H97,"|",",")&amp;"];"&amp;
" end;"</f>
        <v>(* *) with OpCodes[$5F] do begin code:= @op_BBR5_dp,rel8; inst:= 'BBR5'; fmt:= 'BBR5'+#9+'$%.2x,%d'; group:= Egroup.branch; mode:= Emode.dp_rel; len:= 3; cycle:= [2,3]; end;</v>
      </c>
    </row>
    <row r="98" spans="1:4" ht="78.75" x14ac:dyDescent="0.25">
      <c r="A98" s="18" t="str">
        <f>"op"&amp;"_"&amp;OpCode!C98&amp;ConvertFormat2(OpCode!D98)</f>
        <v>op_RTS</v>
      </c>
      <c r="B98" s="19" t="str">
        <f t="shared" si="1"/>
        <v>procedure TCPU_6502.op_RTS;</v>
      </c>
      <c r="C98" s="20" t="str">
        <f>$B98&amp;CHAR(10)&amp;ConvertCode(OpCode!K98,OpCode!I98,OpCode!H98,"")</f>
        <v>procedure TCPU_6502.op_RTS;
begin
  b1:= ReadMem($100+SP);
  SP:= (SP + 1) and $FF;
  b2:= ReadMem($100+SP);
  SP:= (SP + 1) and $FF;
  PC:= b1 + b2 shr 8;
  inc(cycles, 6);
end;</v>
      </c>
      <c r="D98" s="19" t="str">
        <f>IF(OpCode!B98="Y","(*U*)","(* *)")&amp;
" with OpCodes[$"&amp;OpCode!A98&amp;"] do begin" &amp;
" code:= @"&amp;A98&amp;";"&amp;
" inst:= '"&amp;OpCode!C98&amp;"';"&amp;
" fmt:= '"&amp;OpCode!C98&amp;IF(OpCode!D98&lt;&gt;"","'+#9+'"&amp;convertFormat(OpCode!D98),"")&amp;"'"&amp;";"&amp;
" group:= Egroup."&amp;OpCode!E98&amp;";"&amp;
" mode:= Emode."&amp;OpCode!F98&amp;";"&amp;
" len:= "&amp;OpCode!G98&amp;";"&amp;
" cycle:= ["&amp;SUBSTITUTE(OpCode!H98,"|",",")&amp;"];"&amp;
" end;"</f>
        <v>(* *) with OpCodes[$60] do begin code:= @op_RTS; inst:= 'RTS'; fmt:= 'RTS'; group:= Egroup.branch; mode:= Emode.imp; len:= 1; cycle:= [6]; end;</v>
      </c>
    </row>
    <row r="99" spans="1:4" ht="78.75" x14ac:dyDescent="0.25">
      <c r="A99" s="18" t="str">
        <f>"op"&amp;"_"&amp;OpCode!C99&amp;ConvertFormat2(OpCode!D99)</f>
        <v>op_ADC_dp_idX_ind</v>
      </c>
      <c r="B99" s="19" t="str">
        <f t="shared" si="1"/>
        <v>procedure TCPU_6502.op_ADC_dp_idX_ind;</v>
      </c>
      <c r="C99" s="20" t="str">
        <f>$B99&amp;CHAR(10)&amp;ConvertCode(OpCode!K99,OpCode!I99,OpCode!H99,"")</f>
        <v>procedure TCPU_6502.op_ADC_dp_idX_ind;
var 
  t: iSize8;
  MA: iSize16;
  MV: iSize8;
  b1: iSize8;
begin
  b1:= ReadMem(PC);
  PC:= (PC+1) and $FFFF;
  MA:= ((b1 + X) and $FFFF);
  MA:= ReadMem(MA)+256*ReadMem((MA+1) and $FFFF);
  MV:= ReadMem(MA);
  t:= A + MV + bool_bit[F[Flag_C]];
  A:= (t and $FF);
  F[Flag_V]:= (t&gt;$FF);
  F[Flag_Z]:= (t = 0);
  F[Flag_N]:= (t and $80) = $80;
  F[Flag_C]:= (t and $100) = $100;  
  inc(cycles, 6);
end;</v>
      </c>
      <c r="D99" s="19" t="str">
        <f>IF(OpCode!B99="Y","(*U*)","(* *)")&amp;
" with OpCodes[$"&amp;OpCode!A99&amp;"] do begin" &amp;
" code:= @"&amp;A99&amp;";"&amp;
" inst:= '"&amp;OpCode!C99&amp;"';"&amp;
" fmt:= '"&amp;OpCode!C99&amp;IF(OpCode!D99&lt;&gt;"","'+#9+'"&amp;convertFormat(OpCode!D99),"")&amp;"'"&amp;";"&amp;
" group:= Egroup."&amp;OpCode!E99&amp;";"&amp;
" mode:= Emode."&amp;OpCode!F99&amp;";"&amp;
" len:= "&amp;OpCode!G99&amp;";"&amp;
" cycle:= ["&amp;SUBSTITUTE(OpCode!H99,"|",",")&amp;"];"&amp;
" end;"</f>
        <v>(* *) with OpCodes[$61] do begin code:= @op_ADC_dp_idX_ind; inst:= 'ADC'; fmt:= 'ADC'+#9+'($%.2x,X)'; group:= Egroup.arith; mode:= Emode.dp_idx_ind; len:= 2; cycle:= [6]; end;</v>
      </c>
    </row>
    <row r="100" spans="1:4" ht="78.75" x14ac:dyDescent="0.25">
      <c r="A100" s="18" t="str">
        <f>"op"&amp;"_"&amp;OpCode!C100&amp;ConvertFormat2(OpCode!D100)</f>
        <v>op_NOP</v>
      </c>
      <c r="B100" s="19" t="str">
        <f t="shared" si="1"/>
        <v>procedure TCPU_6502.op_NOP;</v>
      </c>
      <c r="C100" s="20" t="str">
        <f>$B100&amp;CHAR(10)&amp;ConvertCode(OpCode!K100,OpCode!I100,OpCode!H100,"")</f>
        <v>procedure TCPU_6502.op_NOP;
begin
  No operation;
  inc(cycles, 2);
end;</v>
      </c>
      <c r="D100" s="19" t="str">
        <f>IF(OpCode!B100="Y","(*U*)","(* *)")&amp;
" with OpCodes[$"&amp;OpCode!A100&amp;"] do begin" &amp;
" code:= @"&amp;A100&amp;";"&amp;
" inst:= '"&amp;OpCode!C100&amp;"';"&amp;
" fmt:= '"&amp;OpCode!C100&amp;IF(OpCode!D100&lt;&gt;"","'+#9+'"&amp;convertFormat(OpCode!D100),"")&amp;"'"&amp;";"&amp;
" group:= Egroup."&amp;OpCode!E100&amp;";"&amp;
" mode:= Emode."&amp;OpCode!F100&amp;";"&amp;
" len:= "&amp;OpCode!G100&amp;";"&amp;
" cycle:= ["&amp;SUBSTITUTE(OpCode!H100,"|",",")&amp;"];"&amp;
" end;"</f>
        <v>(* *) with OpCodes[$62] do begin code:= @op_NOP; inst:= 'NOP'; fmt:= 'NOP'; group:= Egroup.control; mode:= Emode.imp; len:= 1; cycle:= [2]; end;</v>
      </c>
    </row>
    <row r="101" spans="1:4" ht="78.75" x14ac:dyDescent="0.25">
      <c r="A101" s="18" t="str">
        <f>"op"&amp;"_"&amp;OpCode!C101&amp;ConvertFormat2(OpCode!D101)</f>
        <v>op_NOP</v>
      </c>
      <c r="B101" s="19" t="str">
        <f t="shared" si="1"/>
        <v>procedure TCPU_6502.op_NOP;</v>
      </c>
      <c r="C101" s="20" t="str">
        <f>$B101&amp;CHAR(10)&amp;ConvertCode(OpCode!K101,OpCode!I101,OpCode!H101,"")</f>
        <v>procedure TCPU_6502.op_NOP;
begin
  No operation;
  inc(cycles, 2);
end;</v>
      </c>
      <c r="D101" s="19" t="str">
        <f>IF(OpCode!B101="Y","(*U*)","(* *)")&amp;
" with OpCodes[$"&amp;OpCode!A101&amp;"] do begin" &amp;
" code:= @"&amp;A101&amp;";"&amp;
" inst:= '"&amp;OpCode!C101&amp;"';"&amp;
" fmt:= '"&amp;OpCode!C101&amp;IF(OpCode!D101&lt;&gt;"","'+#9+'"&amp;convertFormat(OpCode!D101),"")&amp;"'"&amp;";"&amp;
" group:= Egroup."&amp;OpCode!E101&amp;";"&amp;
" mode:= Emode."&amp;OpCode!F101&amp;";"&amp;
" len:= "&amp;OpCode!G101&amp;";"&amp;
" cycle:= ["&amp;SUBSTITUTE(OpCode!H101,"|",",")&amp;"];"&amp;
" end;"</f>
        <v>(* *) with OpCodes[$63] do begin code:= @op_NOP; inst:= 'NOP'; fmt:= 'NOP'; group:= Egroup.control; mode:= Emode.imp; len:= 1; cycle:= [2]; end;</v>
      </c>
    </row>
    <row r="102" spans="1:4" ht="78.75" x14ac:dyDescent="0.25">
      <c r="A102" s="18" t="str">
        <f>"op"&amp;"_"&amp;OpCode!C102&amp;ConvertFormat2(OpCode!D102)</f>
        <v>op_STZ_dp</v>
      </c>
      <c r="B102" s="19" t="str">
        <f t="shared" si="1"/>
        <v>procedure TCPU_6502.op_STZ_dp;</v>
      </c>
      <c r="C102" s="20" t="str">
        <f>$B102&amp;CHAR(10)&amp;ConvertCode(OpCode!K102,OpCode!I102,OpCode!H102,"")</f>
        <v>procedure TCPU_6502.op_STZ_dp;
var 
  MA: iSize16;
  b1: iSize8;
begin
  b1:= ReadMem(PC);
  PC:= (PC+1) and $FFFF;
  MA:= b1;
  WriteMem(MA, 0 and $FF);
  inc(cycles, 4);
end;</v>
      </c>
      <c r="D102" s="19" t="str">
        <f>IF(OpCode!B102="Y","(*U*)","(* *)")&amp;
" with OpCodes[$"&amp;OpCode!A102&amp;"] do begin" &amp;
" code:= @"&amp;A102&amp;";"&amp;
" inst:= '"&amp;OpCode!C102&amp;"';"&amp;
" fmt:= '"&amp;OpCode!C102&amp;IF(OpCode!D102&lt;&gt;"","'+#9+'"&amp;convertFormat(OpCode!D102),"")&amp;"'"&amp;";"&amp;
" group:= Egroup."&amp;OpCode!E102&amp;";"&amp;
" mode:= Emode."&amp;OpCode!F102&amp;";"&amp;
" len:= "&amp;OpCode!G102&amp;";"&amp;
" cycle:= ["&amp;SUBSTITUTE(OpCode!H102,"|",",")&amp;"];"&amp;
" end;"</f>
        <v>(* *) with OpCodes[$64] do begin code:= @op_STZ_dp; inst:= 'STZ'; fmt:= 'STZ'+#9+'$%.2x'; group:= Egroup.data; mode:= Emode.dp; len:= 3; cycle:= [4]; end;</v>
      </c>
    </row>
    <row r="103" spans="1:4" ht="78.75" x14ac:dyDescent="0.25">
      <c r="A103" s="18" t="str">
        <f>"op"&amp;"_"&amp;OpCode!C103&amp;ConvertFormat2(OpCode!D103)</f>
        <v>op_ADC_dp</v>
      </c>
      <c r="B103" s="19" t="str">
        <f t="shared" si="1"/>
        <v>procedure TCPU_6502.op_ADC_dp;</v>
      </c>
      <c r="C103" s="20" t="str">
        <f>$B103&amp;CHAR(10)&amp;ConvertCode(OpCode!K103,OpCode!I103,OpCode!H103,"")</f>
        <v>procedure TCPU_6502.op_ADC_dp;
var 
  t: iSize8;
  MA: iSize16;
  MV: iSize8;
  b1: iSize8;
begin
  b1:= ReadMem(PC);
  PC:= (PC+1) and $FFFF;
  MA:= b1;
  MV:= ReadMem(MA);
  t:= A + MV + bool_bit[F[Flag_C]];
  A:= (t and $FF);
  F[Flag_V]:= (t&gt;$FF);
  F[Flag_Z]:= (t = 0);
  F[Flag_N]:= (t and $80) = $80;
  F[Flag_C]:= (t and $100) = $100;  
  inc(cycles, 3);
end;</v>
      </c>
      <c r="D103" s="19" t="str">
        <f>IF(OpCode!B103="Y","(*U*)","(* *)")&amp;
" with OpCodes[$"&amp;OpCode!A103&amp;"] do begin" &amp;
" code:= @"&amp;A103&amp;";"&amp;
" inst:= '"&amp;OpCode!C103&amp;"';"&amp;
" fmt:= '"&amp;OpCode!C103&amp;IF(OpCode!D103&lt;&gt;"","'+#9+'"&amp;convertFormat(OpCode!D103),"")&amp;"'"&amp;";"&amp;
" group:= Egroup."&amp;OpCode!E103&amp;";"&amp;
" mode:= Emode."&amp;OpCode!F103&amp;";"&amp;
" len:= "&amp;OpCode!G103&amp;";"&amp;
" cycle:= ["&amp;SUBSTITUTE(OpCode!H103,"|",",")&amp;"];"&amp;
" end;"</f>
        <v>(* *) with OpCodes[$65] do begin code:= @op_ADC_dp; inst:= 'ADC'; fmt:= 'ADC'+#9+'$%.2x'; group:= Egroup.arith; mode:= Emode.dp; len:= 2; cycle:= [3]; end;</v>
      </c>
    </row>
    <row r="104" spans="1:4" ht="78.75" x14ac:dyDescent="0.25">
      <c r="A104" s="18" t="str">
        <f>"op"&amp;"_"&amp;OpCode!C104&amp;ConvertFormat2(OpCode!D104)</f>
        <v>op_ROR_dp</v>
      </c>
      <c r="B104" s="19" t="str">
        <f t="shared" si="1"/>
        <v>procedure TCPU_6502.op_ROR_dp;</v>
      </c>
      <c r="C104" s="20" t="str">
        <f>$B104&amp;CHAR(10)&amp;ConvertCode(OpCode!K104,OpCode!I104,OpCode!H104,"")</f>
        <v>procedure TCPU_6502.op_ROR_dp;
var 
  t: iSize8;
  MA: iSize16;
  MV: iSize8;
  b1: iSize8;
begin
  b1:= ReadMem(PC);
  PC:= (PC+1) and $FFFF;
  MA:= b1;
  MV:= ReadMem(MA);
  t:= MV  shr  1;
  WriteMem(MA, t and $FF);
  F[Flag_Z]:= (t = 0);
  F[Flag_N]:= (t and $80) = $80;
  F[Flag_C]:= (t and $100) = $100;  
  inc(cycles, 5);
end;</v>
      </c>
      <c r="D104" s="19" t="str">
        <f>IF(OpCode!B104="Y","(*U*)","(* *)")&amp;
" with OpCodes[$"&amp;OpCode!A104&amp;"] do begin" &amp;
" code:= @"&amp;A104&amp;";"&amp;
" inst:= '"&amp;OpCode!C104&amp;"';"&amp;
" fmt:= '"&amp;OpCode!C104&amp;IF(OpCode!D104&lt;&gt;"","'+#9+'"&amp;convertFormat(OpCode!D104),"")&amp;"'"&amp;";"&amp;
" group:= Egroup."&amp;OpCode!E104&amp;";"&amp;
" mode:= Emode."&amp;OpCode!F104&amp;";"&amp;
" len:= "&amp;OpCode!G104&amp;";"&amp;
" cycle:= ["&amp;SUBSTITUTE(OpCode!H104,"|",",")&amp;"];"&amp;
" end;"</f>
        <v>(* *) with OpCodes[$66] do begin code:= @op_ROR_dp; inst:= 'ROR'; fmt:= 'ROR'+#9+'$%.2x'; group:= Egroup.logic; mode:= Emode.dp; len:= 2; cycle:= [5]; end;</v>
      </c>
    </row>
    <row r="105" spans="1:4" ht="78.75" x14ac:dyDescent="0.25">
      <c r="A105" s="18" t="str">
        <f>"op"&amp;"_"&amp;OpCode!C105&amp;ConvertFormat2(OpCode!D105)</f>
        <v>op_RMB6_dp</v>
      </c>
      <c r="B105" s="19" t="str">
        <f t="shared" si="1"/>
        <v>procedure TCPU_6502.op_RMB6_dp;</v>
      </c>
      <c r="C105" s="20" t="str">
        <f>$B105&amp;CHAR(10)&amp;ConvertCode(OpCode!K105,OpCode!I105,OpCode!H105,"")</f>
        <v>procedure TCPU_6502.op_RMB6_dp;
begin
  Reset Memory Bit. Resets a specific bit of a byte held on zero page.;
  F[Flag_Z]:= (t = 0);
  inc(cycles, 5);
end;</v>
      </c>
      <c r="D105" s="19" t="str">
        <f>IF(OpCode!B105="Y","(*U*)","(* *)")&amp;
" with OpCodes[$"&amp;OpCode!A105&amp;"] do begin" &amp;
" code:= @"&amp;A105&amp;";"&amp;
" inst:= '"&amp;OpCode!C105&amp;"';"&amp;
" fmt:= '"&amp;OpCode!C105&amp;IF(OpCode!D105&lt;&gt;"","'+#9+'"&amp;convertFormat(OpCode!D105),"")&amp;"'"&amp;";"&amp;
" group:= Egroup."&amp;OpCode!E105&amp;";"&amp;
" mode:= Emode."&amp;OpCode!F105&amp;";"&amp;
" len:= "&amp;OpCode!G105&amp;";"&amp;
" cycle:= ["&amp;SUBSTITUTE(OpCode!H105,"|",",")&amp;"];"&amp;
" end;"</f>
        <v>(* *) with OpCodes[$67] do begin code:= @op_RMB6_dp; inst:= 'RMB6'; fmt:= 'RMB6'+#9+'$%.2x'; group:= Egroup.logic; mode:= Emode.dp; len:= 2; cycle:= [5]; end;</v>
      </c>
    </row>
    <row r="106" spans="1:4" ht="78.75" x14ac:dyDescent="0.25">
      <c r="A106" s="18" t="str">
        <f>"op"&amp;"_"&amp;OpCode!C106&amp;ConvertFormat2(OpCode!D106)</f>
        <v>op_PLA</v>
      </c>
      <c r="B106" s="19" t="str">
        <f t="shared" si="1"/>
        <v>procedure TCPU_6502.op_PLA;</v>
      </c>
      <c r="C106" s="20" t="str">
        <f>$B106&amp;CHAR(10)&amp;ConvertCode(OpCode!K106,OpCode!I106,OpCode!H106,"")</f>
        <v>procedure TCPU_6502.op_PLA;
begin
  A:= ReadMem($100+SP);
  SP:= (SP + 1) and $FF; 
  F[Flag_Z]:= (t = 0);
  F[Flag_N]:= (t and $80) = $80;
  inc(cycles, 4);
end;</v>
      </c>
      <c r="D106" s="19" t="str">
        <f>IF(OpCode!B106="Y","(*U*)","(* *)")&amp;
" with OpCodes[$"&amp;OpCode!A106&amp;"] do begin" &amp;
" code:= @"&amp;A106&amp;";"&amp;
" inst:= '"&amp;OpCode!C106&amp;"';"&amp;
" fmt:= '"&amp;OpCode!C106&amp;IF(OpCode!D106&lt;&gt;"","'+#9+'"&amp;convertFormat(OpCode!D106),"")&amp;"'"&amp;";"&amp;
" group:= Egroup."&amp;OpCode!E106&amp;";"&amp;
" mode:= Emode."&amp;OpCode!F106&amp;";"&amp;
" len:= "&amp;OpCode!G106&amp;";"&amp;
" cycle:= ["&amp;SUBSTITUTE(OpCode!H106,"|",",")&amp;"];"&amp;
" end;"</f>
        <v>(* *) with OpCodes[$68] do begin code:= @op_PLA; inst:= 'PLA'; fmt:= 'PLA'; group:= Egroup.stack; mode:= Emode.imp; len:= 1; cycle:= [4]; end;</v>
      </c>
    </row>
    <row r="107" spans="1:4" ht="78.75" x14ac:dyDescent="0.25">
      <c r="A107" s="18" t="str">
        <f>"op"&amp;"_"&amp;OpCode!C107&amp;ConvertFormat2(OpCode!D107)</f>
        <v>op_ADC_imm</v>
      </c>
      <c r="B107" s="19" t="str">
        <f t="shared" si="1"/>
        <v>procedure TCPU_6502.op_ADC_imm;</v>
      </c>
      <c r="C107" s="20" t="str">
        <f>$B107&amp;CHAR(10)&amp;ConvertCode(OpCode!K107,OpCode!I107,OpCode!H107,"")</f>
        <v>procedure TCPU_6502.op_ADC_imm;
var 
  t: iSize8;
  b1: iSize8;
begin
  b1:= ReadMem(PC);
  PC:= (PC+1) and $FFFF;
  t:= A + b1 + bool_bit[F[Flag_C]];
  A:= (t and $FF);
  F[Flag_V]:= (t&gt;$FF);
  F[Flag_Z]:= (t = 0);
  F[Flag_N]:= (t and $80) = $80;
  F[Flag_C]:= (t and $100) = $100;  
  inc(cycles, 2);
end;</v>
      </c>
      <c r="D107" s="19" t="str">
        <f>IF(OpCode!B107="Y","(*U*)","(* *)")&amp;
" with OpCodes[$"&amp;OpCode!A107&amp;"] do begin" &amp;
" code:= @"&amp;A107&amp;";"&amp;
" inst:= '"&amp;OpCode!C107&amp;"';"&amp;
" fmt:= '"&amp;OpCode!C107&amp;IF(OpCode!D107&lt;&gt;"","'+#9+'"&amp;convertFormat(OpCode!D107),"")&amp;"'"&amp;";"&amp;
" group:= Egroup."&amp;OpCode!E107&amp;";"&amp;
" mode:= Emode."&amp;OpCode!F107&amp;";"&amp;
" len:= "&amp;OpCode!G107&amp;";"&amp;
" cycle:= ["&amp;SUBSTITUTE(OpCode!H107,"|",",")&amp;"];"&amp;
" end;"</f>
        <v>(* *) with OpCodes[$69] do begin code:= @op_ADC_imm; inst:= 'ADC'; fmt:= 'ADC'+#9+'#%.2x'; group:= Egroup.arith; mode:= Emode.imm; len:= 2; cycle:= [2]; end;</v>
      </c>
    </row>
    <row r="108" spans="1:4" ht="78.75" x14ac:dyDescent="0.25">
      <c r="A108" s="18" t="str">
        <f>"op"&amp;"_"&amp;OpCode!C108&amp;ConvertFormat2(OpCode!D108)</f>
        <v>op_ROR_A</v>
      </c>
      <c r="B108" s="19" t="str">
        <f t="shared" si="1"/>
        <v>procedure TCPU_6502.op_ROR_A;</v>
      </c>
      <c r="C108" s="20" t="str">
        <f>$B108&amp;CHAR(10)&amp;ConvertCode(OpCode!K108,OpCode!I108,OpCode!H108,"")</f>
        <v>procedure TCPU_6502.op_ROR_A;
var 
  t: iSize8;
begin
  t:= A  shr  1;
  A:= (t and $FF);
  F[Flag_Z]:= (t = 0);
  F[Flag_N]:= (t and $80) = $80;
  F[Flag_C]:= (t and $100) = $100;  
  inc(cycles, 2);
end;</v>
      </c>
      <c r="D108" s="19" t="str">
        <f>IF(OpCode!B108="Y","(*U*)","(* *)")&amp;
" with OpCodes[$"&amp;OpCode!A108&amp;"] do begin" &amp;
" code:= @"&amp;A108&amp;";"&amp;
" inst:= '"&amp;OpCode!C108&amp;"';"&amp;
" fmt:= '"&amp;OpCode!C108&amp;IF(OpCode!D108&lt;&gt;"","'+#9+'"&amp;convertFormat(OpCode!D108),"")&amp;"'"&amp;";"&amp;
" group:= Egroup."&amp;OpCode!E108&amp;";"&amp;
" mode:= Emode."&amp;OpCode!F108&amp;";"&amp;
" len:= "&amp;OpCode!G108&amp;";"&amp;
" cycle:= ["&amp;SUBSTITUTE(OpCode!H108,"|",",")&amp;"];"&amp;
" end;"</f>
        <v>(* *) with OpCodes[$6A] do begin code:= @op_ROR_A; inst:= 'ROR'; fmt:= 'ROR'+#9+'A'; group:= Egroup.logic; mode:= Emode.imp; len:= 1; cycle:= [2]; end;</v>
      </c>
    </row>
    <row r="109" spans="1:4" ht="78.75" x14ac:dyDescent="0.25">
      <c r="A109" s="18" t="str">
        <f>"op"&amp;"_"&amp;OpCode!C109&amp;ConvertFormat2(OpCode!D109)</f>
        <v>op_NOP</v>
      </c>
      <c r="B109" s="19" t="str">
        <f t="shared" si="1"/>
        <v>procedure TCPU_6502.op_NOP;</v>
      </c>
      <c r="C109" s="20" t="str">
        <f>$B109&amp;CHAR(10)&amp;ConvertCode(OpCode!K109,OpCode!I109,OpCode!H109,"")</f>
        <v>procedure TCPU_6502.op_NOP;
begin
  No operation;
  inc(cycles, 2);
end;</v>
      </c>
      <c r="D109" s="19" t="str">
        <f>IF(OpCode!B109="Y","(*U*)","(* *)")&amp;
" with OpCodes[$"&amp;OpCode!A109&amp;"] do begin" &amp;
" code:= @"&amp;A109&amp;";"&amp;
" inst:= '"&amp;OpCode!C109&amp;"';"&amp;
" fmt:= '"&amp;OpCode!C109&amp;IF(OpCode!D109&lt;&gt;"","'+#9+'"&amp;convertFormat(OpCode!D109),"")&amp;"'"&amp;";"&amp;
" group:= Egroup."&amp;OpCode!E109&amp;";"&amp;
" mode:= Emode."&amp;OpCode!F109&amp;";"&amp;
" len:= "&amp;OpCode!G109&amp;";"&amp;
" cycle:= ["&amp;SUBSTITUTE(OpCode!H109,"|",",")&amp;"];"&amp;
" end;"</f>
        <v>(* *) with OpCodes[$6B] do begin code:= @op_NOP; inst:= 'NOP'; fmt:= 'NOP'; group:= Egroup.control; mode:= Emode.imp; len:= 1; cycle:= [2]; end;</v>
      </c>
    </row>
    <row r="110" spans="1:4" ht="78.75" x14ac:dyDescent="0.25">
      <c r="A110" s="18" t="str">
        <f>"op"&amp;"_"&amp;OpCode!C110&amp;ConvertFormat2(OpCode!D110)</f>
        <v>op_JMP_abs_ind</v>
      </c>
      <c r="B110" s="19" t="str">
        <f t="shared" si="1"/>
        <v>procedure TCPU_6502.op_JMP_abs_ind;</v>
      </c>
      <c r="C110" s="20" t="str">
        <f>$B110&amp;CHAR(10)&amp;ConvertCode(OpCode!K110,OpCode!I110,OpCode!H110,"")</f>
        <v>procedure TCPU_6502.op_JMP_abs_ind;
var 
  MA: iSize16;
  b1: iSize8;
  b2: iSize8;
begin
  b1:= ReadMem(PC);
  PC:= (PC+1) and $FFFF;
  b2:= ReadMem(PC);
  PC:= (PC+1) and $FFFF;
  MA:= b1 + b2 shl 8;
  MA:= ReadMem(MA)+256*ReadMem((MA+1) and $FFFF);
  PC:= MA;
  inc(cycles, 5);
end;</v>
      </c>
      <c r="D110" s="19" t="str">
        <f>IF(OpCode!B110="Y","(*U*)","(* *)")&amp;
" with OpCodes[$"&amp;OpCode!A110&amp;"] do begin" &amp;
" code:= @"&amp;A110&amp;";"&amp;
" inst:= '"&amp;OpCode!C110&amp;"';"&amp;
" fmt:= '"&amp;OpCode!C110&amp;IF(OpCode!D110&lt;&gt;"","'+#9+'"&amp;convertFormat(OpCode!D110),"")&amp;"'"&amp;";"&amp;
" group:= Egroup."&amp;OpCode!E110&amp;";"&amp;
" mode:= Emode."&amp;OpCode!F110&amp;";"&amp;
" len:= "&amp;OpCode!G110&amp;";"&amp;
" cycle:= ["&amp;SUBSTITUTE(OpCode!H110,"|",",")&amp;"];"&amp;
" end;"</f>
        <v>(* *) with OpCodes[$6C] do begin code:= @op_JMP_abs_ind; inst:= 'JMP'; fmt:= 'JMP'+#9+'($%.4x)'; group:= Egroup.branch; mode:= Emode.abs_ind; len:= 3; cycle:= [5]; end;</v>
      </c>
    </row>
    <row r="111" spans="1:4" ht="78.75" x14ac:dyDescent="0.25">
      <c r="A111" s="18" t="str">
        <f>"op"&amp;"_"&amp;OpCode!C111&amp;ConvertFormat2(OpCode!D111)</f>
        <v>op_ADC_abs</v>
      </c>
      <c r="B111" s="19" t="str">
        <f t="shared" si="1"/>
        <v>procedure TCPU_6502.op_ADC_abs;</v>
      </c>
      <c r="C111" s="20" t="str">
        <f>$B111&amp;CHAR(10)&amp;ConvertCode(OpCode!K111,OpCode!I111,OpCode!H111,"")</f>
        <v>procedure TCPU_6502.op_ADC_abs;
var 
  t: iSize8;
  MA: iSize16;
  MV: iSize8;
  b1: iSize8;
  b2: iSize8;
begin
  b1:= ReadMem(PC);
  PC:= (PC+1) and $FFFF;
  b2:= ReadMem(PC);
  PC:= (PC+1) and $FFFF;
  MA:= b1 + b2 shl 8;
  MV:= ReadMem(MA);
  t:= A + MV + bool_bit[F[Flag_C]];
  A:= (t and $FF);
  F[Flag_V]:= (t&gt;$FF);
  F[Flag_Z]:= (t = 0);
  F[Flag_N]:= (t and $80) = $80;
  F[Flag_C]:= (t and $100) = $100;  
  inc(cycles, 4);
end;</v>
      </c>
      <c r="D111" s="19" t="str">
        <f>IF(OpCode!B111="Y","(*U*)","(* *)")&amp;
" with OpCodes[$"&amp;OpCode!A111&amp;"] do begin" &amp;
" code:= @"&amp;A111&amp;";"&amp;
" inst:= '"&amp;OpCode!C111&amp;"';"&amp;
" fmt:= '"&amp;OpCode!C111&amp;IF(OpCode!D111&lt;&gt;"","'+#9+'"&amp;convertFormat(OpCode!D111),"")&amp;"'"&amp;";"&amp;
" group:= Egroup."&amp;OpCode!E111&amp;";"&amp;
" mode:= Emode."&amp;OpCode!F111&amp;";"&amp;
" len:= "&amp;OpCode!G111&amp;";"&amp;
" cycle:= ["&amp;SUBSTITUTE(OpCode!H111,"|",",")&amp;"];"&amp;
" end;"</f>
        <v>(* *) with OpCodes[$6D] do begin code:= @op_ADC_abs; inst:= 'ADC'; fmt:= 'ADC'+#9+'$%.4x'; group:= Egroup.arith; mode:= Emode.abs; len:= 3; cycle:= [4]; end;</v>
      </c>
    </row>
    <row r="112" spans="1:4" ht="78.75" x14ac:dyDescent="0.25">
      <c r="A112" s="18" t="str">
        <f>"op"&amp;"_"&amp;OpCode!C112&amp;ConvertFormat2(OpCode!D112)</f>
        <v>op_ROR_abs</v>
      </c>
      <c r="B112" s="19" t="str">
        <f t="shared" si="1"/>
        <v>procedure TCPU_6502.op_ROR_abs;</v>
      </c>
      <c r="C112" s="20" t="str">
        <f>$B112&amp;CHAR(10)&amp;ConvertCode(OpCode!K112,OpCode!I112,OpCode!H112,"")</f>
        <v>procedure TCPU_6502.op_ROR_abs;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F[Flag_N]:= (t and $80) = $80;
  F[Flag_C]:= (t and $100) = $100;  
  inc(cycles, 6);
end;</v>
      </c>
      <c r="D112" s="19" t="str">
        <f>IF(OpCode!B112="Y","(*U*)","(* *)")&amp;
" with OpCodes[$"&amp;OpCode!A112&amp;"] do begin" &amp;
" code:= @"&amp;A112&amp;";"&amp;
" inst:= '"&amp;OpCode!C112&amp;"';"&amp;
" fmt:= '"&amp;OpCode!C112&amp;IF(OpCode!D112&lt;&gt;"","'+#9+'"&amp;convertFormat(OpCode!D112),"")&amp;"'"&amp;";"&amp;
" group:= Egroup."&amp;OpCode!E112&amp;";"&amp;
" mode:= Emode."&amp;OpCode!F112&amp;";"&amp;
" len:= "&amp;OpCode!G112&amp;";"&amp;
" cycle:= ["&amp;SUBSTITUTE(OpCode!H112,"|",",")&amp;"];"&amp;
" end;"</f>
        <v>(* *) with OpCodes[$6E] do begin code:= @op_ROR_abs; inst:= 'ROR'; fmt:= 'ROR'+#9+'$%.4x'; group:= Egroup.logic; mode:= Emode.abs; len:= 3; cycle:= [6]; end;</v>
      </c>
    </row>
    <row r="113" spans="1:4" ht="78.75" x14ac:dyDescent="0.25">
      <c r="A113" s="18" t="str">
        <f>"op"&amp;"_"&amp;OpCode!C113&amp;ConvertFormat2(OpCode!D113)</f>
        <v>op_BBR6_dp,rel8</v>
      </c>
      <c r="B113" s="19" t="str">
        <f t="shared" si="1"/>
        <v>procedure TCPU_6502.op_BBR6_dp,rel8;</v>
      </c>
      <c r="C113" s="20" t="str">
        <f>$B113&amp;CHAR(10)&amp;ConvertCode(OpCode!K113,OpCode!I113,OpCode!H113,"")</f>
        <v>procedure TCPU_6502.op_BBR6_dp,rel8;
begin
  Branch on Bit Reset. Tests a specific bit of a byte held on zero page and causes a branch of the bit is resest (0);
  inc(cycles, 2|3);
end;</v>
      </c>
      <c r="D113" s="19" t="str">
        <f>IF(OpCode!B113="Y","(*U*)","(* *)")&amp;
" with OpCodes[$"&amp;OpCode!A113&amp;"] do begin" &amp;
" code:= @"&amp;A113&amp;";"&amp;
" inst:= '"&amp;OpCode!C113&amp;"';"&amp;
" fmt:= '"&amp;OpCode!C113&amp;IF(OpCode!D113&lt;&gt;"","'+#9+'"&amp;convertFormat(OpCode!D113),"")&amp;"'"&amp;";"&amp;
" group:= Egroup."&amp;OpCode!E113&amp;";"&amp;
" mode:= Emode."&amp;OpCode!F113&amp;";"&amp;
" len:= "&amp;OpCode!G113&amp;";"&amp;
" cycle:= ["&amp;SUBSTITUTE(OpCode!H113,"|",",")&amp;"];"&amp;
" end;"</f>
        <v>(* *) with OpCodes[$6F] do begin code:= @op_BBR6_dp,rel8; inst:= 'BBR6'; fmt:= 'BBR6'+#9+'$%.2x,%d'; group:= Egroup.branch; mode:= Emode.dp_rel; len:= 3; cycle:= [2,3]; end;</v>
      </c>
    </row>
    <row r="114" spans="1:4" ht="78.75" x14ac:dyDescent="0.25">
      <c r="A114" s="18" t="str">
        <f>"op"&amp;"_"&amp;OpCode!C114&amp;ConvertFormat2(OpCode!D114)</f>
        <v>op_BVS_rel8</v>
      </c>
      <c r="B114" s="19" t="str">
        <f t="shared" si="1"/>
        <v>procedure TCPU_6502.op_BVS_rel8;</v>
      </c>
      <c r="C114" s="20" t="str">
        <f>$B114&amp;CHAR(10)&amp;ConvertCode(OpCode!K114,OpCode!I114,OpCode!H114,"")</f>
        <v>procedure TCPU_6502.op_BVS_rel8;
var 
  b1: iSize8;
begin
  b1:= ReadMem(PC);
  PC:= (PC+1) and $FFFF;
  if V  then PC:= ((PC + b1) and $FF);
  inc(cycles, 2|3);
end;</v>
      </c>
      <c r="D114" s="19" t="str">
        <f>IF(OpCode!B114="Y","(*U*)","(* *)")&amp;
" with OpCodes[$"&amp;OpCode!A114&amp;"] do begin" &amp;
" code:= @"&amp;A114&amp;";"&amp;
" inst:= '"&amp;OpCode!C114&amp;"';"&amp;
" fmt:= '"&amp;OpCode!C114&amp;IF(OpCode!D114&lt;&gt;"","'+#9+'"&amp;convertFormat(OpCode!D114),"")&amp;"'"&amp;";"&amp;
" group:= Egroup."&amp;OpCode!E114&amp;";"&amp;
" mode:= Emode."&amp;OpCode!F114&amp;";"&amp;
" len:= "&amp;OpCode!G114&amp;";"&amp;
" cycle:= ["&amp;SUBSTITUTE(OpCode!H114,"|",",")&amp;"];"&amp;
" end;"</f>
        <v>(* *) with OpCodes[$70] do begin code:= @op_BVS_rel8; inst:= 'BVS'; fmt:= 'BVS'+#9+'%d'; group:= Egroup.branch; mode:= Emode.rel; len:= 2; cycle:= [2,3]; end;</v>
      </c>
    </row>
    <row r="115" spans="1:4" ht="78.75" x14ac:dyDescent="0.25">
      <c r="A115" s="18" t="str">
        <f>"op"&amp;"_"&amp;OpCode!C115&amp;ConvertFormat2(OpCode!D115)</f>
        <v>op_ADC_dp_ind_idY</v>
      </c>
      <c r="B115" s="19" t="str">
        <f t="shared" si="1"/>
        <v>procedure TCPU_6502.op_ADC_dp_ind_idY;</v>
      </c>
      <c r="C115" s="20" t="str">
        <f>$B115&amp;CHAR(10)&amp;ConvertCode(OpCode!K115,OpCode!I115,OpCode!H115,"")</f>
        <v>procedure TCPU_6502.op_ADC_dp_ind_idY;
var 
  t: iSize8;
  MA: iSize16;
  MV: iSize8;
  b1: iSize8;
begin
  b1:= ReadMem(PC);
  PC:= (PC+1) and $FFFF;
  MA:= b1;
  MA:= ReadMem(MA)+256*ReadMem((MA+1) and $FFFF) + Y;
  MV:= ReadMem(MA);
  t:= A + MV + bool_bit[F[Flag_C]];
  A:= (t and $FF);
  F[Flag_V]:= (t&gt;$FF);
  F[Flag_Z]:= (t = 0);
  F[Flag_N]:= (t and $80) = $80;
  F[Flag_C]:= (t and $100) = $100;  
  inc(cycles, 5);
end;</v>
      </c>
      <c r="D115" s="19" t="str">
        <f>IF(OpCode!B115="Y","(*U*)","(* *)")&amp;
" with OpCodes[$"&amp;OpCode!A115&amp;"] do begin" &amp;
" code:= @"&amp;A115&amp;";"&amp;
" inst:= '"&amp;OpCode!C115&amp;"';"&amp;
" fmt:= '"&amp;OpCode!C115&amp;IF(OpCode!D115&lt;&gt;"","'+#9+'"&amp;convertFormat(OpCode!D115),"")&amp;"'"&amp;";"&amp;
" group:= Egroup."&amp;OpCode!E115&amp;";"&amp;
" mode:= Emode."&amp;OpCode!F115&amp;";"&amp;
" len:= "&amp;OpCode!G115&amp;";"&amp;
" cycle:= ["&amp;SUBSTITUTE(OpCode!H115,"|",",")&amp;"];"&amp;
" end;"</f>
        <v>(* *) with OpCodes[$71] do begin code:= @op_ADC_dp_ind_idY; inst:= 'ADC'; fmt:= 'ADC'+#9+'($%.2x),Y'; group:= Egroup.arith; mode:= Emode.dp_ind_idx; len:= 2; cycle:= [5]; end;</v>
      </c>
    </row>
    <row r="116" spans="1:4" ht="78.75" x14ac:dyDescent="0.25">
      <c r="A116" s="18" t="str">
        <f>"op"&amp;"_"&amp;OpCode!C116&amp;ConvertFormat2(OpCode!D116)</f>
        <v>op_ADC_dp_ind</v>
      </c>
      <c r="B116" s="19" t="str">
        <f t="shared" si="1"/>
        <v>procedure TCPU_6502.op_ADC_dp_ind;</v>
      </c>
      <c r="C116" s="20" t="str">
        <f>$B116&amp;CHAR(10)&amp;ConvertCode(OpCode!K116,OpCode!I116,OpCode!H116,"")</f>
        <v>procedure TCPU_6502.op_ADC_dp_ind;
var 
  t: iSize8;
  MA: iSize16;
  MV: iSize8;
  b1: iSize8;
begin
  b1:= ReadMem(PC);
  PC:= (PC+1) and $FFFF;
  MA:= b1;
  MA:= ReadMem(MA)+256*ReadMem((MA+1) and $FFFF);
  MV:= ReadMem(MA);
  t:= A + MV + bool_bit[F[Flag_C]];
  A:= (t and $FF);
  F[Flag_V]:= (t&gt;$FF);
  F[Flag_Z]:= (t = 0);
  F[Flag_N]:= (t and $80) = $80;
  F[Flag_C]:= (t and $100) = $100;  
  inc(cycles, 5);
end;</v>
      </c>
      <c r="D116" s="19" t="str">
        <f>IF(OpCode!B116="Y","(*U*)","(* *)")&amp;
" with OpCodes[$"&amp;OpCode!A116&amp;"] do begin" &amp;
" code:= @"&amp;A116&amp;";"&amp;
" inst:= '"&amp;OpCode!C116&amp;"';"&amp;
" fmt:= '"&amp;OpCode!C116&amp;IF(OpCode!D116&lt;&gt;"","'+#9+'"&amp;convertFormat(OpCode!D116),"")&amp;"'"&amp;";"&amp;
" group:= Egroup."&amp;OpCode!E116&amp;";"&amp;
" mode:= Emode."&amp;OpCode!F116&amp;";"&amp;
" len:= "&amp;OpCode!G116&amp;";"&amp;
" cycle:= ["&amp;SUBSTITUTE(OpCode!H116,"|",",")&amp;"];"&amp;
" end;"</f>
        <v>(* *) with OpCodes[$72] do begin code:= @op_ADC_dp_ind; inst:= 'ADC'; fmt:= 'ADC'+#9+'($%.2x)'; group:= Egroup.arith; mode:= Emode.dp_ind; len:= 2; cycle:= [5]; end;</v>
      </c>
    </row>
    <row r="117" spans="1:4" ht="78.75" x14ac:dyDescent="0.25">
      <c r="A117" s="18" t="str">
        <f>"op"&amp;"_"&amp;OpCode!C117&amp;ConvertFormat2(OpCode!D117)</f>
        <v>op_NOP</v>
      </c>
      <c r="B117" s="19" t="str">
        <f t="shared" si="1"/>
        <v>procedure TCPU_6502.op_NOP;</v>
      </c>
      <c r="C117" s="20" t="str">
        <f>$B117&amp;CHAR(10)&amp;ConvertCode(OpCode!K117,OpCode!I117,OpCode!H117,"")</f>
        <v>procedure TCPU_6502.op_NOP;
begin
  No operation;
  inc(cycles, 2);
end;</v>
      </c>
      <c r="D117" s="19" t="str">
        <f>IF(OpCode!B117="Y","(*U*)","(* *)")&amp;
" with OpCodes[$"&amp;OpCode!A117&amp;"] do begin" &amp;
" code:= @"&amp;A117&amp;";"&amp;
" inst:= '"&amp;OpCode!C117&amp;"';"&amp;
" fmt:= '"&amp;OpCode!C117&amp;IF(OpCode!D117&lt;&gt;"","'+#9+'"&amp;convertFormat(OpCode!D117),"")&amp;"'"&amp;";"&amp;
" group:= Egroup."&amp;OpCode!E117&amp;";"&amp;
" mode:= Emode."&amp;OpCode!F117&amp;";"&amp;
" len:= "&amp;OpCode!G117&amp;";"&amp;
" cycle:= ["&amp;SUBSTITUTE(OpCode!H117,"|",",")&amp;"];"&amp;
" end;"</f>
        <v>(* *) with OpCodes[$73] do begin code:= @op_NOP; inst:= 'NOP'; fmt:= 'NOP'; group:= Egroup.control; mode:= Emode.imp; len:= 1; cycle:= [2]; end;</v>
      </c>
    </row>
    <row r="118" spans="1:4" ht="78.75" x14ac:dyDescent="0.25">
      <c r="A118" s="18" t="str">
        <f>"op"&amp;"_"&amp;OpCode!C118&amp;ConvertFormat2(OpCode!D118)</f>
        <v>op_STZ_dp_idX</v>
      </c>
      <c r="B118" s="19" t="str">
        <f t="shared" si="1"/>
        <v>procedure TCPU_6502.op_STZ_dp_idX;</v>
      </c>
      <c r="C118" s="20" t="str">
        <f>$B118&amp;CHAR(10)&amp;ConvertCode(OpCode!K118,OpCode!I118,OpCode!H118,"")</f>
        <v>procedure TCPU_6502.op_STZ_dp_idX;
var 
  MA: iSize16;
  b1: iSize8;
begin
  b1:= ReadMem(PC);
  PC:= (PC+1) and $FFFF;
  MA:= ((b1 + X) and $FFFF);
  WriteMem(MA, 0 and $FF);
  inc(cycles, 4);
end;</v>
      </c>
      <c r="D118" s="19" t="str">
        <f>IF(OpCode!B118="Y","(*U*)","(* *)")&amp;
" with OpCodes[$"&amp;OpCode!A118&amp;"] do begin" &amp;
" code:= @"&amp;A118&amp;";"&amp;
" inst:= '"&amp;OpCode!C118&amp;"';"&amp;
" fmt:= '"&amp;OpCode!C118&amp;IF(OpCode!D118&lt;&gt;"","'+#9+'"&amp;convertFormat(OpCode!D118),"")&amp;"'"&amp;";"&amp;
" group:= Egroup."&amp;OpCode!E118&amp;";"&amp;
" mode:= Emode."&amp;OpCode!F118&amp;";"&amp;
" len:= "&amp;OpCode!G118&amp;";"&amp;
" cycle:= ["&amp;SUBSTITUTE(OpCode!H118,"|",",")&amp;"];"&amp;
" end;"</f>
        <v>(* *) with OpCodes[$74] do begin code:= @op_STZ_dp_idX; inst:= 'STZ'; fmt:= 'STZ'+#9+'$%.2x,X'; group:= Egroup.data; mode:= Emode.dp_idx; len:= 2; cycle:= [4]; end;</v>
      </c>
    </row>
    <row r="119" spans="1:4" ht="78.75" x14ac:dyDescent="0.25">
      <c r="A119" s="18" t="str">
        <f>"op"&amp;"_"&amp;OpCode!C119&amp;ConvertFormat2(OpCode!D119)</f>
        <v>op_ADC_dp_idX</v>
      </c>
      <c r="B119" s="19" t="str">
        <f t="shared" si="1"/>
        <v>procedure TCPU_6502.op_ADC_dp_idX;</v>
      </c>
      <c r="C119" s="20" t="str">
        <f>$B119&amp;CHAR(10)&amp;ConvertCode(OpCode!K119,OpCode!I119,OpCode!H119,"")</f>
        <v>procedure TCPU_6502.op_ADC_dp_idX;
var 
  t: iSize8;
  MA: iSize16;
  MV: iSize8;
  b1: iSize8;
begin
  b1:= ReadMem(PC);
  PC:= (PC+1) and $FFFF;
  MA:= ((b1 + X) and $FFFF);
  MV:= ReadMem(MA);
  t:= A + MV + bool_bit[F[Flag_C]];
  A:= (t and $FF);
  F[Flag_V]:= (t&gt;$FF);
  F[Flag_Z]:= (t = 0);
  F[Flag_N]:= (t and $80) = $80;
  F[Flag_C]:= (t and $100) = $100;  
  inc(cycles, 4);
end;</v>
      </c>
      <c r="D119" s="19" t="str">
        <f>IF(OpCode!B119="Y","(*U*)","(* *)")&amp;
" with OpCodes[$"&amp;OpCode!A119&amp;"] do begin" &amp;
" code:= @"&amp;A119&amp;";"&amp;
" inst:= '"&amp;OpCode!C119&amp;"';"&amp;
" fmt:= '"&amp;OpCode!C119&amp;IF(OpCode!D119&lt;&gt;"","'+#9+'"&amp;convertFormat(OpCode!D119),"")&amp;"'"&amp;";"&amp;
" group:= Egroup."&amp;OpCode!E119&amp;";"&amp;
" mode:= Emode."&amp;OpCode!F119&amp;";"&amp;
" len:= "&amp;OpCode!G119&amp;";"&amp;
" cycle:= ["&amp;SUBSTITUTE(OpCode!H119,"|",",")&amp;"];"&amp;
" end;"</f>
        <v>(* *) with OpCodes[$75] do begin code:= @op_ADC_dp_idX; inst:= 'ADC'; fmt:= 'ADC'+#9+'$%.2x,X'; group:= Egroup.arith; mode:= Emode.dp_idx; len:= 2; cycle:= [4]; end;</v>
      </c>
    </row>
    <row r="120" spans="1:4" ht="78.75" x14ac:dyDescent="0.25">
      <c r="A120" s="18" t="str">
        <f>"op"&amp;"_"&amp;OpCode!C120&amp;ConvertFormat2(OpCode!D120)</f>
        <v>op_ROR_dp_idX</v>
      </c>
      <c r="B120" s="19" t="str">
        <f t="shared" si="1"/>
        <v>procedure TCPU_6502.op_ROR_dp_idX;</v>
      </c>
      <c r="C120" s="20" t="str">
        <f>$B120&amp;CHAR(10)&amp;ConvertCode(OpCode!K120,OpCode!I120,OpCode!H120,"")</f>
        <v>procedure TCPU_6502.op_ROR_dp_idX;
var 
  t: iSize8;
  MA: iSize16;
  MV: iSize8;
  b1: iSize8;
begin
  b1:= ReadMem(PC);
  PC:= (PC+1) and $FFFF;
  MA:= ((b1 + X) and $FFFF);
  MV:= ReadMem(MA);
  t:= MV  shr  1;
  WriteMem(MA, t and $FF);
  F[Flag_Z]:= (t = 0);
  F[Flag_N]:= (t and $80) = $80;
  F[Flag_C]:= (t and $100) = $100;  
  inc(cycles, 6);
end;</v>
      </c>
      <c r="D120" s="19" t="str">
        <f>IF(OpCode!B120="Y","(*U*)","(* *)")&amp;
" with OpCodes[$"&amp;OpCode!A120&amp;"] do begin" &amp;
" code:= @"&amp;A120&amp;";"&amp;
" inst:= '"&amp;OpCode!C120&amp;"';"&amp;
" fmt:= '"&amp;OpCode!C120&amp;IF(OpCode!D120&lt;&gt;"","'+#9+'"&amp;convertFormat(OpCode!D120),"")&amp;"'"&amp;";"&amp;
" group:= Egroup."&amp;OpCode!E120&amp;";"&amp;
" mode:= Emode."&amp;OpCode!F120&amp;";"&amp;
" len:= "&amp;OpCode!G120&amp;";"&amp;
" cycle:= ["&amp;SUBSTITUTE(OpCode!H120,"|",",")&amp;"];"&amp;
" end;"</f>
        <v>(* *) with OpCodes[$76] do begin code:= @op_ROR_dp_idX; inst:= 'ROR'; fmt:= 'ROR'+#9+'$%.2x,X'; group:= Egroup.logic; mode:= Emode.dp_idx; len:= 2; cycle:= [6]; end;</v>
      </c>
    </row>
    <row r="121" spans="1:4" ht="78.75" x14ac:dyDescent="0.25">
      <c r="A121" s="18" t="str">
        <f>"op"&amp;"_"&amp;OpCode!C121&amp;ConvertFormat2(OpCode!D121)</f>
        <v>op_RMB7_dp</v>
      </c>
      <c r="B121" s="19" t="str">
        <f t="shared" si="1"/>
        <v>procedure TCPU_6502.op_RMB7_dp;</v>
      </c>
      <c r="C121" s="20" t="str">
        <f>$B121&amp;CHAR(10)&amp;ConvertCode(OpCode!K121,OpCode!I121,OpCode!H121,"")</f>
        <v>procedure TCPU_6502.op_RMB7_dp;
begin
  Reset Memory Bit. Resets a specific bit of a byte held on zero page.;
  F[Flag_Z]:= (t = 0);
  inc(cycles, 5);
end;</v>
      </c>
      <c r="D121" s="19" t="str">
        <f>IF(OpCode!B121="Y","(*U*)","(* *)")&amp;
" with OpCodes[$"&amp;OpCode!A121&amp;"] do begin" &amp;
" code:= @"&amp;A121&amp;";"&amp;
" inst:= '"&amp;OpCode!C121&amp;"';"&amp;
" fmt:= '"&amp;OpCode!C121&amp;IF(OpCode!D121&lt;&gt;"","'+#9+'"&amp;convertFormat(OpCode!D121),"")&amp;"'"&amp;";"&amp;
" group:= Egroup."&amp;OpCode!E121&amp;";"&amp;
" mode:= Emode."&amp;OpCode!F121&amp;";"&amp;
" len:= "&amp;OpCode!G121&amp;";"&amp;
" cycle:= ["&amp;SUBSTITUTE(OpCode!H121,"|",",")&amp;"];"&amp;
" end;"</f>
        <v>(* *) with OpCodes[$77] do begin code:= @op_RMB7_dp; inst:= 'RMB7'; fmt:= 'RMB7'+#9+'$%.2x'; group:= Egroup.logic; mode:= Emode.dp; len:= 2; cycle:= [5]; end;</v>
      </c>
    </row>
    <row r="122" spans="1:4" ht="78.75" x14ac:dyDescent="0.25">
      <c r="A122" s="18" t="str">
        <f>"op"&amp;"_"&amp;OpCode!C122&amp;ConvertFormat2(OpCode!D122)</f>
        <v>op_SEI</v>
      </c>
      <c r="B122" s="19" t="str">
        <f t="shared" si="1"/>
        <v>procedure TCPU_6502.op_SEI;</v>
      </c>
      <c r="C122" s="20" t="str">
        <f>$B122&amp;CHAR(10)&amp;ConvertCode(OpCode!K122,OpCode!I122,OpCode!H122,"")</f>
        <v>procedure TCPU_6502.op_SEI;
begin
  i:= ((1) and $FF);
  F[Flag_i]:= true;
  inc(cycles, 2);
end;</v>
      </c>
      <c r="D122" s="19" t="str">
        <f>IF(OpCode!B122="Y","(*U*)","(* *)")&amp;
" with OpCodes[$"&amp;OpCode!A122&amp;"] do begin" &amp;
" code:= @"&amp;A122&amp;";"&amp;
" inst:= '"&amp;OpCode!C122&amp;"';"&amp;
" fmt:= '"&amp;OpCode!C122&amp;IF(OpCode!D122&lt;&gt;"","'+#9+'"&amp;convertFormat(OpCode!D122),"")&amp;"'"&amp;";"&amp;
" group:= Egroup."&amp;OpCode!E122&amp;";"&amp;
" mode:= Emode."&amp;OpCode!F122&amp;";"&amp;
" len:= "&amp;OpCode!G122&amp;";"&amp;
" cycle:= ["&amp;SUBSTITUTE(OpCode!H122,"|",",")&amp;"];"&amp;
" end;"</f>
        <v>(* *) with OpCodes[$78] do begin code:= @op_SEI; inst:= 'SEI'; fmt:= 'SEI'; group:= Egroup.control; mode:= Emode.imp; len:= 1; cycle:= [2]; end;</v>
      </c>
    </row>
    <row r="123" spans="1:4" ht="78.75" x14ac:dyDescent="0.25">
      <c r="A123" s="18" t="str">
        <f>"op"&amp;"_"&amp;OpCode!C123&amp;ConvertFormat2(OpCode!D123)</f>
        <v>op_ADC_abs_idY</v>
      </c>
      <c r="B123" s="19" t="str">
        <f t="shared" si="1"/>
        <v>procedure TCPU_6502.op_ADC_abs_idY;</v>
      </c>
      <c r="C123" s="20" t="str">
        <f>$B123&amp;CHAR(10)&amp;ConvertCode(OpCode!K123,OpCode!I123,OpCode!H123,"")</f>
        <v>procedure TCPU_6502.op_ADC_abs_idY;
var 
  t: iSize8;
  MA: iSize16;
  MV: iSize8;
  b1: iSize8;
  b2: iSize8;
begin
  b1:= ReadMem(PC);
  PC:= (PC+1) and $FFFF;
  b2:= ReadMem(PC);
  PC:= (PC+1) and $FFFF;
  MA:= ((b1 + b2 shl 8 + Y) and $FFFF);
  MV:= ReadMem(MA);
  t:= A + MV + bool_bit[F[Flag_C]];
  A:= (t and $FF);
  F[Flag_V]:= (t&gt;$FF);
  F[Flag_Z]:= (t = 0);
  F[Flag_N]:= (t and $80) = $80;
  F[Flag_C]:= (t and $100) = $100;  
  inc(cycles, 4);
end;</v>
      </c>
      <c r="D123" s="19" t="str">
        <f>IF(OpCode!B123="Y","(*U*)","(* *)")&amp;
" with OpCodes[$"&amp;OpCode!A123&amp;"] do begin" &amp;
" code:= @"&amp;A123&amp;";"&amp;
" inst:= '"&amp;OpCode!C123&amp;"';"&amp;
" fmt:= '"&amp;OpCode!C123&amp;IF(OpCode!D123&lt;&gt;"","'+#9+'"&amp;convertFormat(OpCode!D123),"")&amp;"'"&amp;";"&amp;
" group:= Egroup."&amp;OpCode!E123&amp;";"&amp;
" mode:= Emode."&amp;OpCode!F123&amp;";"&amp;
" len:= "&amp;OpCode!G123&amp;";"&amp;
" cycle:= ["&amp;SUBSTITUTE(OpCode!H123,"|",",")&amp;"];"&amp;
" end;"</f>
        <v>(* *) with OpCodes[$79] do begin code:= @op_ADC_abs_idY; inst:= 'ADC'; fmt:= 'ADC'+#9+'$%.4x,Y'; group:= Egroup.arith; mode:= Emode.abs_idx; len:= 3; cycle:= [4]; end;</v>
      </c>
    </row>
    <row r="124" spans="1:4" ht="78.75" x14ac:dyDescent="0.25">
      <c r="A124" s="18" t="str">
        <f>"op"&amp;"_"&amp;OpCode!C124&amp;ConvertFormat2(OpCode!D124)</f>
        <v>op_PLY</v>
      </c>
      <c r="B124" s="19" t="str">
        <f t="shared" si="1"/>
        <v>procedure TCPU_6502.op_PLY;</v>
      </c>
      <c r="C124" s="20" t="str">
        <f>$B124&amp;CHAR(10)&amp;ConvertCode(OpCode!K124,OpCode!I124,OpCode!H124,"")</f>
        <v>procedure TCPU_6502.op_PLY;
begin
  Y:= ReadMem($100+SP);
  SP:= (SP + 1) and $FF; 
  F[Flag_Z]:= (t = 0);
  F[Flag_N]:= (t and $80) = $80;
  inc(cycles, 4);
end;</v>
      </c>
      <c r="D124" s="19" t="str">
        <f>IF(OpCode!B124="Y","(*U*)","(* *)")&amp;
" with OpCodes[$"&amp;OpCode!A124&amp;"] do begin" &amp;
" code:= @"&amp;A124&amp;";"&amp;
" inst:= '"&amp;OpCode!C124&amp;"';"&amp;
" fmt:= '"&amp;OpCode!C124&amp;IF(OpCode!D124&lt;&gt;"","'+#9+'"&amp;convertFormat(OpCode!D124),"")&amp;"'"&amp;";"&amp;
" group:= Egroup."&amp;OpCode!E124&amp;";"&amp;
" mode:= Emode."&amp;OpCode!F124&amp;";"&amp;
" len:= "&amp;OpCode!G124&amp;";"&amp;
" cycle:= ["&amp;SUBSTITUTE(OpCode!H124,"|",",")&amp;"];"&amp;
" end;"</f>
        <v>(* *) with OpCodes[$7A] do begin code:= @op_PLY; inst:= 'PLY'; fmt:= 'PLY'; group:= Egroup.stack; mode:= Emode.imp; len:= 1; cycle:= [4]; end;</v>
      </c>
    </row>
    <row r="125" spans="1:4" ht="78.75" x14ac:dyDescent="0.25">
      <c r="A125" s="18" t="str">
        <f>"op"&amp;"_"&amp;OpCode!C125&amp;ConvertFormat2(OpCode!D125)</f>
        <v>op_NOP</v>
      </c>
      <c r="B125" s="19" t="str">
        <f t="shared" si="1"/>
        <v>procedure TCPU_6502.op_NOP;</v>
      </c>
      <c r="C125" s="20" t="str">
        <f>$B125&amp;CHAR(10)&amp;ConvertCode(OpCode!K125,OpCode!I125,OpCode!H125,"")</f>
        <v>procedure TCPU_6502.op_NOP;
begin
  No operation;
  inc(cycles, 2);
end;</v>
      </c>
      <c r="D125" s="19" t="str">
        <f>IF(OpCode!B125="Y","(*U*)","(* *)")&amp;
" with OpCodes[$"&amp;OpCode!A125&amp;"] do begin" &amp;
" code:= @"&amp;A125&amp;";"&amp;
" inst:= '"&amp;OpCode!C125&amp;"';"&amp;
" fmt:= '"&amp;OpCode!C125&amp;IF(OpCode!D125&lt;&gt;"","'+#9+'"&amp;convertFormat(OpCode!D125),"")&amp;"'"&amp;";"&amp;
" group:= Egroup."&amp;OpCode!E125&amp;";"&amp;
" mode:= Emode."&amp;OpCode!F125&amp;";"&amp;
" len:= "&amp;OpCode!G125&amp;";"&amp;
" cycle:= ["&amp;SUBSTITUTE(OpCode!H125,"|",",")&amp;"];"&amp;
" end;"</f>
        <v>(* *) with OpCodes[$7B] do begin code:= @op_NOP; inst:= 'NOP'; fmt:= 'NOP'; group:= Egroup.control; mode:= Emode.imp; len:= 1; cycle:= [2]; end;</v>
      </c>
    </row>
    <row r="126" spans="1:4" ht="78.75" x14ac:dyDescent="0.25">
      <c r="A126" s="18" t="str">
        <f>"op"&amp;"_"&amp;OpCode!C126&amp;ConvertFormat2(OpCode!D126)</f>
        <v>op_JMP_abs_idX_ind</v>
      </c>
      <c r="B126" s="19" t="str">
        <f t="shared" si="1"/>
        <v>procedure TCPU_6502.op_JMP_abs_idX_ind;</v>
      </c>
      <c r="C126" s="20" t="str">
        <f>$B126&amp;CHAR(10)&amp;ConvertCode(OpCode!K126,OpCode!I126,OpCode!H126,"")</f>
        <v>procedure TCPU_6502.op_JMP_abs_idX_ind;
var 
  MA: iSize16;
  b1: iSize8;
  b2: iSize8;
begin
  b1:= ReadMem(PC);
  PC:= (PC+1) and $FFFF;
  b2:= ReadMem(PC);
  PC:= (PC+1) and $FFFF;
  MA:= ((b1 + b2 shl 8 + X) and $FFFF);
  MA:= ReadMem(MA)+256*ReadMem((MA+1) and $FFFF);
  PC:= MA;
  inc(cycles, 6);
end;</v>
      </c>
      <c r="D126" s="19" t="str">
        <f>IF(OpCode!B126="Y","(*U*)","(* *)")&amp;
" with OpCodes[$"&amp;OpCode!A126&amp;"] do begin" &amp;
" code:= @"&amp;A126&amp;";"&amp;
" inst:= '"&amp;OpCode!C126&amp;"';"&amp;
" fmt:= '"&amp;OpCode!C126&amp;IF(OpCode!D126&lt;&gt;"","'+#9+'"&amp;convertFormat(OpCode!D126),"")&amp;"'"&amp;";"&amp;
" group:= Egroup."&amp;OpCode!E126&amp;";"&amp;
" mode:= Emode."&amp;OpCode!F126&amp;";"&amp;
" len:= "&amp;OpCode!G126&amp;";"&amp;
" cycle:= ["&amp;SUBSTITUTE(OpCode!H126,"|",",")&amp;"];"&amp;
" end;"</f>
        <v>(* *) with OpCodes[$7C] do begin code:= @op_JMP_abs_idX_ind; inst:= 'JMP'; fmt:= 'JMP'+#9+'($%.4x,X)'; group:= Egroup.branch; mode:= Emode.abs_idx_ind; len:= 3; cycle:= [6]; end;</v>
      </c>
    </row>
    <row r="127" spans="1:4" ht="78.75" x14ac:dyDescent="0.25">
      <c r="A127" s="18" t="str">
        <f>"op"&amp;"_"&amp;OpCode!C127&amp;ConvertFormat2(OpCode!D127)</f>
        <v>op_ADC_abs_idX</v>
      </c>
      <c r="B127" s="19" t="str">
        <f t="shared" si="1"/>
        <v>procedure TCPU_6502.op_ADC_abs_idX;</v>
      </c>
      <c r="C127" s="20" t="str">
        <f>$B127&amp;CHAR(10)&amp;ConvertCode(OpCode!K127,OpCode!I127,OpCode!H127,"")</f>
        <v>procedure TCPU_6502.op_ADC_abs_idX;
var 
  t: iSize8;
  MA: iSize16;
  MV: iSize8;
  b1: iSize8;
  b2: iSize8;
begin
  b1:= ReadMem(PC);
  PC:= (PC+1) and $FFFF;
  b2:= ReadMem(PC);
  PC:= (PC+1) and $FFFF;
  MA:= ((b1 + b2 shl 8 + X) and $FFFF);
  MV:= ReadMem(MA);
  t:= A + MV + bool_bit[F[Flag_C]];
  A:= (t and $FF);
  F[Flag_V]:= (t&gt;$FF);
  F[Flag_Z]:= (t = 0);
  F[Flag_N]:= (t and $80) = $80;
  F[Flag_C]:= (t and $100) = $100;  
  inc(cycles, 4);
end;</v>
      </c>
      <c r="D127" s="19" t="str">
        <f>IF(OpCode!B127="Y","(*U*)","(* *)")&amp;
" with OpCodes[$"&amp;OpCode!A127&amp;"] do begin" &amp;
" code:= @"&amp;A127&amp;";"&amp;
" inst:= '"&amp;OpCode!C127&amp;"';"&amp;
" fmt:= '"&amp;OpCode!C127&amp;IF(OpCode!D127&lt;&gt;"","'+#9+'"&amp;convertFormat(OpCode!D127),"")&amp;"'"&amp;";"&amp;
" group:= Egroup."&amp;OpCode!E127&amp;";"&amp;
" mode:= Emode."&amp;OpCode!F127&amp;";"&amp;
" len:= "&amp;OpCode!G127&amp;";"&amp;
" cycle:= ["&amp;SUBSTITUTE(OpCode!H127,"|",",")&amp;"];"&amp;
" end;"</f>
        <v>(* *) with OpCodes[$7D] do begin code:= @op_ADC_abs_idX; inst:= 'ADC'; fmt:= 'ADC'+#9+'$%.4x,X'; group:= Egroup.arith; mode:= Emode.abs_idx; len:= 3; cycle:= [4]; end;</v>
      </c>
    </row>
    <row r="128" spans="1:4" ht="78.75" x14ac:dyDescent="0.25">
      <c r="A128" s="18" t="str">
        <f>"op"&amp;"_"&amp;OpCode!C128&amp;ConvertFormat2(OpCode!D128)</f>
        <v>op_ROR_abs_idX</v>
      </c>
      <c r="B128" s="19" t="str">
        <f t="shared" si="1"/>
        <v>procedure TCPU_6502.op_ROR_abs_idX;</v>
      </c>
      <c r="C128" s="20" t="str">
        <f>$B128&amp;CHAR(10)&amp;ConvertCode(OpCode!K128,OpCode!I128,OpCode!H128,"")</f>
        <v>procedure TCPU_6502.op_ROR_abs_idX;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F[Flag_N]:= (t and $80) = $80;
  F[Flag_C]:= (t and $100) = $100;  
  inc(cycles, 7);
end;</v>
      </c>
      <c r="D128" s="19" t="str">
        <f>IF(OpCode!B128="Y","(*U*)","(* *)")&amp;
" with OpCodes[$"&amp;OpCode!A128&amp;"] do begin" &amp;
" code:= @"&amp;A128&amp;";"&amp;
" inst:= '"&amp;OpCode!C128&amp;"';"&amp;
" fmt:= '"&amp;OpCode!C128&amp;IF(OpCode!D128&lt;&gt;"","'+#9+'"&amp;convertFormat(OpCode!D128),"")&amp;"'"&amp;";"&amp;
" group:= Egroup."&amp;OpCode!E128&amp;";"&amp;
" mode:= Emode."&amp;OpCode!F128&amp;";"&amp;
" len:= "&amp;OpCode!G128&amp;";"&amp;
" cycle:= ["&amp;SUBSTITUTE(OpCode!H128,"|",",")&amp;"];"&amp;
" end;"</f>
        <v>(* *) with OpCodes[$7E] do begin code:= @op_ROR_abs_idX; inst:= 'ROR'; fmt:= 'ROR'+#9+'$%.4x,X'; group:= Egroup.logic; mode:= Emode.abs_idx; len:= 3; cycle:= [7]; end;</v>
      </c>
    </row>
    <row r="129" spans="1:4" ht="78.75" x14ac:dyDescent="0.25">
      <c r="A129" s="18" t="str">
        <f>"op"&amp;"_"&amp;OpCode!C129&amp;ConvertFormat2(OpCode!D129)</f>
        <v>op_BBR7_dp,rel8</v>
      </c>
      <c r="B129" s="19" t="str">
        <f t="shared" si="1"/>
        <v>procedure TCPU_6502.op_BBR7_dp,rel8;</v>
      </c>
      <c r="C129" s="20" t="str">
        <f>$B129&amp;CHAR(10)&amp;ConvertCode(OpCode!K129,OpCode!I129,OpCode!H129,"")</f>
        <v>procedure TCPU_6502.op_BBR7_dp,rel8;
begin
  Branch on Bit Reset. Tests a specific bit of a byte held on zero page and causes a branch of the bit is resest (0);
  inc(cycles, 2|3);
end;</v>
      </c>
      <c r="D129" s="19" t="str">
        <f>IF(OpCode!B129="Y","(*U*)","(* *)")&amp;
" with OpCodes[$"&amp;OpCode!A129&amp;"] do begin" &amp;
" code:= @"&amp;A129&amp;";"&amp;
" inst:= '"&amp;OpCode!C129&amp;"';"&amp;
" fmt:= '"&amp;OpCode!C129&amp;IF(OpCode!D129&lt;&gt;"","'+#9+'"&amp;convertFormat(OpCode!D129),"")&amp;"'"&amp;";"&amp;
" group:= Egroup."&amp;OpCode!E129&amp;";"&amp;
" mode:= Emode."&amp;OpCode!F129&amp;";"&amp;
" len:= "&amp;OpCode!G129&amp;";"&amp;
" cycle:= ["&amp;SUBSTITUTE(OpCode!H129,"|",",")&amp;"];"&amp;
" end;"</f>
        <v>(* *) with OpCodes[$7F] do begin code:= @op_BBR7_dp,rel8; inst:= 'BBR7'; fmt:= 'BBR7'+#9+'$%.2x,%d'; group:= Egroup.branch; mode:= Emode.dp_rel; len:= 3; cycle:= [2,3]; end;</v>
      </c>
    </row>
    <row r="130" spans="1:4" ht="78.75" x14ac:dyDescent="0.25">
      <c r="A130" s="18" t="str">
        <f>"op"&amp;"_"&amp;OpCode!C130&amp;ConvertFormat2(OpCode!D130)</f>
        <v>op_BRA_rel8</v>
      </c>
      <c r="B130" s="19" t="str">
        <f t="shared" si="1"/>
        <v>procedure TCPU_6502.op_BRA_rel8;</v>
      </c>
      <c r="C130" s="20" t="str">
        <f>$B130&amp;CHAR(10)&amp;ConvertCode(OpCode!K130,OpCode!I130,OpCode!H130,"")</f>
        <v>procedure TCPU_6502.op_BRA_rel8;
var 
  b1: iSize8;
begin
  b1:= ReadMem(PC);
  PC:= (PC+1) and $FFFF;
  PC:= ((PC + b1) and $FFFF);
  inc(cycles, 3);
end;</v>
      </c>
      <c r="D130" s="19" t="str">
        <f>IF(OpCode!B130="Y","(*U*)","(* *)")&amp;
" with OpCodes[$"&amp;OpCode!A130&amp;"] do begin" &amp;
" code:= @"&amp;A130&amp;";"&amp;
" inst:= '"&amp;OpCode!C130&amp;"';"&amp;
" fmt:= '"&amp;OpCode!C130&amp;IF(OpCode!D130&lt;&gt;"","'+#9+'"&amp;convertFormat(OpCode!D130),"")&amp;"'"&amp;";"&amp;
" group:= Egroup."&amp;OpCode!E130&amp;";"&amp;
" mode:= Emode."&amp;OpCode!F130&amp;";"&amp;
" len:= "&amp;OpCode!G130&amp;";"&amp;
" cycle:= ["&amp;SUBSTITUTE(OpCode!H130,"|",",")&amp;"];"&amp;
" end;"</f>
        <v>(* *) with OpCodes[$80] do begin code:= @op_BRA_rel8; inst:= 'BRA'; fmt:= 'BRA'+#9+'%d'; group:= Egroup.branch; mode:= Emode.rel; len:= 2; cycle:= [3]; end;</v>
      </c>
    </row>
    <row r="131" spans="1:4" ht="78.75" x14ac:dyDescent="0.25">
      <c r="A131" s="18" t="str">
        <f>"op"&amp;"_"&amp;OpCode!C131&amp;ConvertFormat2(OpCode!D131)</f>
        <v>op_STA_dp_idX_ind</v>
      </c>
      <c r="B131" s="19" t="str">
        <f t="shared" ref="B131:B194" si="2">"procedure TCPU_6502."&amp;$A131&amp;";"</f>
        <v>procedure TCPU_6502.op_STA_dp_idX_ind;</v>
      </c>
      <c r="C131" s="20" t="str">
        <f>$B131&amp;CHAR(10)&amp;ConvertCode(OpCode!K131,OpCode!I131,OpCode!H131,"")</f>
        <v>procedure TCPU_6502.op_STA_dp_idX_ind;
var 
  MA: iSize16;
  b1: iSize8;
begin
  b1:= ReadMem(PC);
  PC:= (PC+1) and $FFFF;
  MA:= ((b1 + X) and $FFFF);
  MA:= ReadMem(MA)+256*ReadMem((MA+1) and $FFFF);
  WriteMem(MA, A and $FF);
  inc(cycles, 6);
end;</v>
      </c>
      <c r="D131" s="19" t="str">
        <f>IF(OpCode!B131="Y","(*U*)","(* *)")&amp;
" with OpCodes[$"&amp;OpCode!A131&amp;"] do begin" &amp;
" code:= @"&amp;A131&amp;";"&amp;
" inst:= '"&amp;OpCode!C131&amp;"';"&amp;
" fmt:= '"&amp;OpCode!C131&amp;IF(OpCode!D131&lt;&gt;"","'+#9+'"&amp;convertFormat(OpCode!D131),"")&amp;"'"&amp;";"&amp;
" group:= Egroup."&amp;OpCode!E131&amp;";"&amp;
" mode:= Emode."&amp;OpCode!F131&amp;";"&amp;
" len:= "&amp;OpCode!G131&amp;";"&amp;
" cycle:= ["&amp;SUBSTITUTE(OpCode!H131,"|",",")&amp;"];"&amp;
" end;"</f>
        <v>(* *) with OpCodes[$81] do begin code:= @op_STA_dp_idX_ind; inst:= 'STA'; fmt:= 'STA'+#9+'($%.2x,X)'; group:= Egroup.data; mode:= Emode.dp_idx_ind; len:= 2; cycle:= [6]; end;</v>
      </c>
    </row>
    <row r="132" spans="1:4" ht="78.75" x14ac:dyDescent="0.25">
      <c r="A132" s="18" t="str">
        <f>"op"&amp;"_"&amp;OpCode!C132&amp;ConvertFormat2(OpCode!D132)</f>
        <v>op_NOP</v>
      </c>
      <c r="B132" s="19" t="str">
        <f t="shared" si="2"/>
        <v>procedure TCPU_6502.op_NOP;</v>
      </c>
      <c r="C132" s="20" t="str">
        <f>$B132&amp;CHAR(10)&amp;ConvertCode(OpCode!K132,OpCode!I132,OpCode!H132,"")</f>
        <v>procedure TCPU_6502.op_NOP;
begin
  No operation;
  inc(cycles, 2);
end;</v>
      </c>
      <c r="D132" s="19" t="str">
        <f>IF(OpCode!B132="Y","(*U*)","(* *)")&amp;
" with OpCodes[$"&amp;OpCode!A132&amp;"] do begin" &amp;
" code:= @"&amp;A132&amp;";"&amp;
" inst:= '"&amp;OpCode!C132&amp;"';"&amp;
" fmt:= '"&amp;OpCode!C132&amp;IF(OpCode!D132&lt;&gt;"","'+#9+'"&amp;convertFormat(OpCode!D132),"")&amp;"'"&amp;";"&amp;
" group:= Egroup."&amp;OpCode!E132&amp;";"&amp;
" mode:= Emode."&amp;OpCode!F132&amp;";"&amp;
" len:= "&amp;OpCode!G132&amp;";"&amp;
" cycle:= ["&amp;SUBSTITUTE(OpCode!H132,"|",",")&amp;"];"&amp;
" end;"</f>
        <v>(* *) with OpCodes[$82] do begin code:= @op_NOP; inst:= 'NOP'; fmt:= 'NOP'; group:= Egroup.control; mode:= Emode.imp; len:= 1; cycle:= [2]; end;</v>
      </c>
    </row>
    <row r="133" spans="1:4" ht="78.75" x14ac:dyDescent="0.25">
      <c r="A133" s="18" t="str">
        <f>"op"&amp;"_"&amp;OpCode!C133&amp;ConvertFormat2(OpCode!D133)</f>
        <v>op_NOP</v>
      </c>
      <c r="B133" s="19" t="str">
        <f t="shared" si="2"/>
        <v>procedure TCPU_6502.op_NOP;</v>
      </c>
      <c r="C133" s="20" t="str">
        <f>$B133&amp;CHAR(10)&amp;ConvertCode(OpCode!K133,OpCode!I133,OpCode!H133,"")</f>
        <v>procedure TCPU_6502.op_NOP;
begin
  No operation;
  inc(cycles, 2);
end;</v>
      </c>
      <c r="D133" s="19" t="str">
        <f>IF(OpCode!B133="Y","(*U*)","(* *)")&amp;
" with OpCodes[$"&amp;OpCode!A133&amp;"] do begin" &amp;
" code:= @"&amp;A133&amp;";"&amp;
" inst:= '"&amp;OpCode!C133&amp;"';"&amp;
" fmt:= '"&amp;OpCode!C133&amp;IF(OpCode!D133&lt;&gt;"","'+#9+'"&amp;convertFormat(OpCode!D133),"")&amp;"'"&amp;";"&amp;
" group:= Egroup."&amp;OpCode!E133&amp;";"&amp;
" mode:= Emode."&amp;OpCode!F133&amp;";"&amp;
" len:= "&amp;OpCode!G133&amp;";"&amp;
" cycle:= ["&amp;SUBSTITUTE(OpCode!H133,"|",",")&amp;"];"&amp;
" end;"</f>
        <v>(* *) with OpCodes[$83] do begin code:= @op_NOP; inst:= 'NOP'; fmt:= 'NOP'; group:= Egroup.control; mode:= Emode.imp; len:= 1; cycle:= [2]; end;</v>
      </c>
    </row>
    <row r="134" spans="1:4" ht="78.75" x14ac:dyDescent="0.25">
      <c r="A134" s="18" t="str">
        <f>"op"&amp;"_"&amp;OpCode!C134&amp;ConvertFormat2(OpCode!D134)</f>
        <v>op_STY_dp</v>
      </c>
      <c r="B134" s="19" t="str">
        <f t="shared" si="2"/>
        <v>procedure TCPU_6502.op_STY_dp;</v>
      </c>
      <c r="C134" s="20" t="str">
        <f>$B134&amp;CHAR(10)&amp;ConvertCode(OpCode!K134,OpCode!I134,OpCode!H134,"")</f>
        <v>procedure TCPU_6502.op_STY_dp;
var 
  MA: iSize16;
  b1: iSize8;
begin
  b1:= ReadMem(PC);
  PC:= (PC+1) and $FFFF;
  MA:= b1;
  WriteMem(MA, Y and $FF);
  inc(cycles, 3);
end;</v>
      </c>
      <c r="D134" s="19" t="str">
        <f>IF(OpCode!B134="Y","(*U*)","(* *)")&amp;
" with OpCodes[$"&amp;OpCode!A134&amp;"] do begin" &amp;
" code:= @"&amp;A134&amp;";"&amp;
" inst:= '"&amp;OpCode!C134&amp;"';"&amp;
" fmt:= '"&amp;OpCode!C134&amp;IF(OpCode!D134&lt;&gt;"","'+#9+'"&amp;convertFormat(OpCode!D134),"")&amp;"'"&amp;";"&amp;
" group:= Egroup."&amp;OpCode!E134&amp;";"&amp;
" mode:= Emode."&amp;OpCode!F134&amp;";"&amp;
" len:= "&amp;OpCode!G134&amp;";"&amp;
" cycle:= ["&amp;SUBSTITUTE(OpCode!H134,"|",",")&amp;"];"&amp;
" end;"</f>
        <v>(* *) with OpCodes[$84] do begin code:= @op_STY_dp; inst:= 'STY'; fmt:= 'STY'+#9+'$%.2x'; group:= Egroup.data; mode:= Emode.dp; len:= 2; cycle:= [3]; end;</v>
      </c>
    </row>
    <row r="135" spans="1:4" ht="78.75" x14ac:dyDescent="0.25">
      <c r="A135" s="18" t="str">
        <f>"op"&amp;"_"&amp;OpCode!C135&amp;ConvertFormat2(OpCode!D135)</f>
        <v>op_STA_dp</v>
      </c>
      <c r="B135" s="19" t="str">
        <f t="shared" si="2"/>
        <v>procedure TCPU_6502.op_STA_dp;</v>
      </c>
      <c r="C135" s="20" t="str">
        <f>$B135&amp;CHAR(10)&amp;ConvertCode(OpCode!K135,OpCode!I135,OpCode!H135,"")</f>
        <v>procedure TCPU_6502.op_STA_dp;
var 
  MA: iSize16;
  b1: iSize8;
begin
  b1:= ReadMem(PC);
  PC:= (PC+1) and $FFFF;
  MA:= b1;
  WriteMem(MA, A and $FF);
  inc(cycles, 3);
end;</v>
      </c>
      <c r="D135" s="19" t="str">
        <f>IF(OpCode!B135="Y","(*U*)","(* *)")&amp;
" with OpCodes[$"&amp;OpCode!A135&amp;"] do begin" &amp;
" code:= @"&amp;A135&amp;";"&amp;
" inst:= '"&amp;OpCode!C135&amp;"';"&amp;
" fmt:= '"&amp;OpCode!C135&amp;IF(OpCode!D135&lt;&gt;"","'+#9+'"&amp;convertFormat(OpCode!D135),"")&amp;"'"&amp;";"&amp;
" group:= Egroup."&amp;OpCode!E135&amp;";"&amp;
" mode:= Emode."&amp;OpCode!F135&amp;";"&amp;
" len:= "&amp;OpCode!G135&amp;";"&amp;
" cycle:= ["&amp;SUBSTITUTE(OpCode!H135,"|",",")&amp;"];"&amp;
" end;"</f>
        <v>(* *) with OpCodes[$85] do begin code:= @op_STA_dp; inst:= 'STA'; fmt:= 'STA'+#9+'$%.2x'; group:= Egroup.data; mode:= Emode.dp; len:= 2; cycle:= [3]; end;</v>
      </c>
    </row>
    <row r="136" spans="1:4" ht="78.75" x14ac:dyDescent="0.25">
      <c r="A136" s="18" t="str">
        <f>"op"&amp;"_"&amp;OpCode!C136&amp;ConvertFormat2(OpCode!D136)</f>
        <v>op_STX_dp</v>
      </c>
      <c r="B136" s="19" t="str">
        <f t="shared" si="2"/>
        <v>procedure TCPU_6502.op_STX_dp;</v>
      </c>
      <c r="C136" s="20" t="str">
        <f>$B136&amp;CHAR(10)&amp;ConvertCode(OpCode!K136,OpCode!I136,OpCode!H136,"")</f>
        <v>procedure TCPU_6502.op_STX_dp;
var 
  MA: iSize16;
  b1: iSize8;
begin
  b1:= ReadMem(PC);
  PC:= (PC+1) and $FFFF;
  MA:= b1;
  WriteMem(MA, X and $FF);
  inc(cycles, 3);
end;</v>
      </c>
      <c r="D136" s="19" t="str">
        <f>IF(OpCode!B136="Y","(*U*)","(* *)")&amp;
" with OpCodes[$"&amp;OpCode!A136&amp;"] do begin" &amp;
" code:= @"&amp;A136&amp;";"&amp;
" inst:= '"&amp;OpCode!C136&amp;"';"&amp;
" fmt:= '"&amp;OpCode!C136&amp;IF(OpCode!D136&lt;&gt;"","'+#9+'"&amp;convertFormat(OpCode!D136),"")&amp;"'"&amp;";"&amp;
" group:= Egroup."&amp;OpCode!E136&amp;";"&amp;
" mode:= Emode."&amp;OpCode!F136&amp;";"&amp;
" len:= "&amp;OpCode!G136&amp;";"&amp;
" cycle:= ["&amp;SUBSTITUTE(OpCode!H136,"|",",")&amp;"];"&amp;
" end;"</f>
        <v>(* *) with OpCodes[$86] do begin code:= @op_STX_dp; inst:= 'STX'; fmt:= 'STX'+#9+'$%.2x'; group:= Egroup.data; mode:= Emode.dp; len:= 2; cycle:= [3]; end;</v>
      </c>
    </row>
    <row r="137" spans="1:4" ht="78.75" x14ac:dyDescent="0.25">
      <c r="A137" s="18" t="str">
        <f>"op"&amp;"_"&amp;OpCode!C137&amp;ConvertFormat2(OpCode!D137)</f>
        <v>op_SMB0_dp</v>
      </c>
      <c r="B137" s="19" t="str">
        <f t="shared" si="2"/>
        <v>procedure TCPU_6502.op_SMB0_dp;</v>
      </c>
      <c r="C137" s="20" t="str">
        <f>$B137&amp;CHAR(10)&amp;ConvertCode(OpCode!K137,OpCode!I137,OpCode!H137,"")</f>
        <v>procedure TCPU_6502.op_SMB0_dp;
begin
  Set Memory Bit. Sets a specific bit of a byte held on zero page.;
  F[Flag_Z]:= (t = 0);
  inc(cycles, 5);
end;</v>
      </c>
      <c r="D137" s="19" t="str">
        <f>IF(OpCode!B137="Y","(*U*)","(* *)")&amp;
" with OpCodes[$"&amp;OpCode!A137&amp;"] do begin" &amp;
" code:= @"&amp;A137&amp;";"&amp;
" inst:= '"&amp;OpCode!C137&amp;"';"&amp;
" fmt:= '"&amp;OpCode!C137&amp;IF(OpCode!D137&lt;&gt;"","'+#9+'"&amp;convertFormat(OpCode!D137),"")&amp;"'"&amp;";"&amp;
" group:= Egroup."&amp;OpCode!E137&amp;";"&amp;
" mode:= Emode."&amp;OpCode!F137&amp;";"&amp;
" len:= "&amp;OpCode!G137&amp;";"&amp;
" cycle:= ["&amp;SUBSTITUTE(OpCode!H137,"|",",")&amp;"];"&amp;
" end;"</f>
        <v>(* *) with OpCodes[$87] do begin code:= @op_SMB0_dp; inst:= 'SMB0'; fmt:= 'SMB0'+#9+'$%.2x'; group:= Egroup.logic; mode:= Emode.dp; len:= 2; cycle:= [5]; end;</v>
      </c>
    </row>
    <row r="138" spans="1:4" ht="78.75" x14ac:dyDescent="0.25">
      <c r="A138" s="18" t="str">
        <f>"op"&amp;"_"&amp;OpCode!C138&amp;ConvertFormat2(OpCode!D138)</f>
        <v>op_DEY</v>
      </c>
      <c r="B138" s="19" t="str">
        <f t="shared" si="2"/>
        <v>procedure TCPU_6502.op_DEY;</v>
      </c>
      <c r="C138" s="20" t="str">
        <f>$B138&amp;CHAR(10)&amp;ConvertCode(OpCode!K138,OpCode!I138,OpCode!H138,"")</f>
        <v>procedure TCPU_6502.op_DEY;
var 
  t: iSize8;
begin
  t:= Y - 1;
  Y:= (t and $FF);
  F[Flag_Z]:= (t = 0);
  F[Flag_N]:= (t and $80) = $80;
  inc(cycles, 2);
end;</v>
      </c>
      <c r="D138" s="19" t="str">
        <f>IF(OpCode!B138="Y","(*U*)","(* *)")&amp;
" with OpCodes[$"&amp;OpCode!A138&amp;"] do begin" &amp;
" code:= @"&amp;A138&amp;";"&amp;
" inst:= '"&amp;OpCode!C138&amp;"';"&amp;
" fmt:= '"&amp;OpCode!C138&amp;IF(OpCode!D138&lt;&gt;"","'+#9+'"&amp;convertFormat(OpCode!D138),"")&amp;"'"&amp;";"&amp;
" group:= Egroup."&amp;OpCode!E138&amp;";"&amp;
" mode:= Emode."&amp;OpCode!F138&amp;";"&amp;
" len:= "&amp;OpCode!G138&amp;";"&amp;
" cycle:= ["&amp;SUBSTITUTE(OpCode!H138,"|",",")&amp;"];"&amp;
" end;"</f>
        <v>(* *) with OpCodes[$88] do begin code:= @op_DEY; inst:= 'DEY'; fmt:= 'DEY'; group:= Egroup.arith; mode:= Emode.imp; len:= 1; cycle:= [2]; end;</v>
      </c>
    </row>
    <row r="139" spans="1:4" ht="78.75" x14ac:dyDescent="0.25">
      <c r="A139" s="18" t="str">
        <f>"op"&amp;"_"&amp;OpCode!C139&amp;ConvertFormat2(OpCode!D139)</f>
        <v>op_BIT_imm</v>
      </c>
      <c r="B139" s="19" t="str">
        <f t="shared" si="2"/>
        <v>procedure TCPU_6502.op_BIT_imm;</v>
      </c>
      <c r="C139" s="20" t="str">
        <f>$B139&amp;CHAR(10)&amp;ConvertCode(OpCode!K139,OpCode!I139,OpCode!H139,"")</f>
        <v>procedure TCPU_6502.op_BIT_imm;
var 
  t: iSize8;
  b1: iSize8;
begin
  b1:= ReadMem(PC);
  PC:= (PC+1) and $FFFF;
  t:= A and b1;
  F[Flag_V]:= (t&gt;$FF);
  F[Flag_Z]:= (t = 0);
  F[Flag_N]:= (t and $80) = $80;
  inc(cycles, 2);
end;</v>
      </c>
      <c r="D139" s="19" t="str">
        <f>IF(OpCode!B139="Y","(*U*)","(* *)")&amp;
" with OpCodes[$"&amp;OpCode!A139&amp;"] do begin" &amp;
" code:= @"&amp;A139&amp;";"&amp;
" inst:= '"&amp;OpCode!C139&amp;"';"&amp;
" fmt:= '"&amp;OpCode!C139&amp;IF(OpCode!D139&lt;&gt;"","'+#9+'"&amp;convertFormat(OpCode!D139),"")&amp;"'"&amp;";"&amp;
" group:= Egroup."&amp;OpCode!E139&amp;";"&amp;
" mode:= Emode."&amp;OpCode!F139&amp;";"&amp;
" len:= "&amp;OpCode!G139&amp;";"&amp;
" cycle:= ["&amp;SUBSTITUTE(OpCode!H139,"|",",")&amp;"];"&amp;
" end;"</f>
        <v>(* *) with OpCodes[$89] do begin code:= @op_BIT_imm; inst:= 'BIT'; fmt:= 'BIT'+#9+'#%.2x'; group:= Egroup.logic; mode:= Emode.imm; len:= 2; cycle:= [2]; end;</v>
      </c>
    </row>
    <row r="140" spans="1:4" ht="78.75" x14ac:dyDescent="0.25">
      <c r="A140" s="18" t="str">
        <f>"op"&amp;"_"&amp;OpCode!C140&amp;ConvertFormat2(OpCode!D140)</f>
        <v>op_TXA</v>
      </c>
      <c r="B140" s="19" t="str">
        <f t="shared" si="2"/>
        <v>procedure TCPU_6502.op_TXA;</v>
      </c>
      <c r="C140" s="20" t="str">
        <f>$B140&amp;CHAR(10)&amp;ConvertCode(OpCode!K140,OpCode!I140,OpCode!H140,"")</f>
        <v>procedure TCPU_6502.op_TXA;
begin
  A:= ((X) and $FF);
  F[Flag_Z]:= (t = 0);
  F[Flag_N]:= (t and $80) = $80;
  inc(cycles, 2);
end;</v>
      </c>
      <c r="D140" s="19" t="str">
        <f>IF(OpCode!B140="Y","(*U*)","(* *)")&amp;
" with OpCodes[$"&amp;OpCode!A140&amp;"] do begin" &amp;
" code:= @"&amp;A140&amp;";"&amp;
" inst:= '"&amp;OpCode!C140&amp;"';"&amp;
" fmt:= '"&amp;OpCode!C140&amp;IF(OpCode!D140&lt;&gt;"","'+#9+'"&amp;convertFormat(OpCode!D140),"")&amp;"'"&amp;";"&amp;
" group:= Egroup."&amp;OpCode!E140&amp;";"&amp;
" mode:= Emode."&amp;OpCode!F140&amp;";"&amp;
" len:= "&amp;OpCode!G140&amp;";"&amp;
" cycle:= ["&amp;SUBSTITUTE(OpCode!H140,"|",",")&amp;"];"&amp;
" end;"</f>
        <v>(* *) with OpCodes[$8A] do begin code:= @op_TXA; inst:= 'TXA'; fmt:= 'TXA'; group:= Egroup.data; mode:= Emode.imp; len:= 1; cycle:= [2]; end;</v>
      </c>
    </row>
    <row r="141" spans="1:4" ht="78.75" x14ac:dyDescent="0.25">
      <c r="A141" s="18" t="str">
        <f>"op"&amp;"_"&amp;OpCode!C141&amp;ConvertFormat2(OpCode!D141)</f>
        <v>op_NOP</v>
      </c>
      <c r="B141" s="19" t="str">
        <f t="shared" si="2"/>
        <v>procedure TCPU_6502.op_NOP;</v>
      </c>
      <c r="C141" s="20" t="str">
        <f>$B141&amp;CHAR(10)&amp;ConvertCode(OpCode!K141,OpCode!I141,OpCode!H141,"")</f>
        <v>procedure TCPU_6502.op_NOP;
begin
  No operation;
  inc(cycles, 2);
end;</v>
      </c>
      <c r="D141" s="19" t="str">
        <f>IF(OpCode!B141="Y","(*U*)","(* *)")&amp;
" with OpCodes[$"&amp;OpCode!A141&amp;"] do begin" &amp;
" code:= @"&amp;A141&amp;";"&amp;
" inst:= '"&amp;OpCode!C141&amp;"';"&amp;
" fmt:= '"&amp;OpCode!C141&amp;IF(OpCode!D141&lt;&gt;"","'+#9+'"&amp;convertFormat(OpCode!D141),"")&amp;"'"&amp;";"&amp;
" group:= Egroup."&amp;OpCode!E141&amp;";"&amp;
" mode:= Emode."&amp;OpCode!F141&amp;";"&amp;
" len:= "&amp;OpCode!G141&amp;";"&amp;
" cycle:= ["&amp;SUBSTITUTE(OpCode!H141,"|",",")&amp;"];"&amp;
" end;"</f>
        <v>(* *) with OpCodes[$8B] do begin code:= @op_NOP; inst:= 'NOP'; fmt:= 'NOP'; group:= Egroup.control; mode:= Emode.imp; len:= 1; cycle:= [2]; end;</v>
      </c>
    </row>
    <row r="142" spans="1:4" ht="78.75" x14ac:dyDescent="0.25">
      <c r="A142" s="18" t="str">
        <f>"op"&amp;"_"&amp;OpCode!C142&amp;ConvertFormat2(OpCode!D142)</f>
        <v>op_STY_abs</v>
      </c>
      <c r="B142" s="19" t="str">
        <f t="shared" si="2"/>
        <v>procedure TCPU_6502.op_STY_abs;</v>
      </c>
      <c r="C142" s="20" t="str">
        <f>$B142&amp;CHAR(10)&amp;ConvertCode(OpCode!K142,OpCode!I142,OpCode!H142,"")</f>
        <v>procedure TCPU_6502.op_STY_abs;
var 
  MA: iSize16;
  b1: iSize8;
  b2: iSize8;
begin
  b1:= ReadMem(PC);
  PC:= (PC+1) and $FFFF;
  b2:= ReadMem(PC);
  PC:= (PC+1) and $FFFF;
  MA:= b1 + b2 shl 8;
  WriteMem(MA, Y and $FF);
  inc(cycles, 3);
end;</v>
      </c>
      <c r="D142" s="19" t="str">
        <f>IF(OpCode!B142="Y","(*U*)","(* *)")&amp;
" with OpCodes[$"&amp;OpCode!A142&amp;"] do begin" &amp;
" code:= @"&amp;A142&amp;";"&amp;
" inst:= '"&amp;OpCode!C142&amp;"';"&amp;
" fmt:= '"&amp;OpCode!C142&amp;IF(OpCode!D142&lt;&gt;"","'+#9+'"&amp;convertFormat(OpCode!D142),"")&amp;"'"&amp;";"&amp;
" group:= Egroup."&amp;OpCode!E142&amp;";"&amp;
" mode:= Emode."&amp;OpCode!F142&amp;";"&amp;
" len:= "&amp;OpCode!G142&amp;";"&amp;
" cycle:= ["&amp;SUBSTITUTE(OpCode!H142,"|",",")&amp;"];"&amp;
" end;"</f>
        <v>(* *) with OpCodes[$8C] do begin code:= @op_STY_abs; inst:= 'STY'; fmt:= 'STY'+#9+'$%.4x'; group:= Egroup.data; mode:= Emode.abs; len:= 3; cycle:= [3]; end;</v>
      </c>
    </row>
    <row r="143" spans="1:4" ht="78.75" x14ac:dyDescent="0.25">
      <c r="A143" s="18" t="str">
        <f>"op"&amp;"_"&amp;OpCode!C143&amp;ConvertFormat2(OpCode!D143)</f>
        <v>op_STA_abs</v>
      </c>
      <c r="B143" s="19" t="str">
        <f t="shared" si="2"/>
        <v>procedure TCPU_6502.op_STA_abs;</v>
      </c>
      <c r="C143" s="20" t="str">
        <f>$B143&amp;CHAR(10)&amp;ConvertCode(OpCode!K143,OpCode!I143,OpCode!H143,"")</f>
        <v>procedure TCPU_6502.op_STA_abs;
var 
  MA: iSize16;
  b1: iSize8;
  b2: iSize8;
begin
  b1:= ReadMem(PC);
  PC:= (PC+1) and $FFFF;
  b2:= ReadMem(PC);
  PC:= (PC+1) and $FFFF;
  MA:= b1 + b2 shl 8;
  WriteMem(MA, A and $FF);
  inc(cycles, 3);
end;</v>
      </c>
      <c r="D143" s="19" t="str">
        <f>IF(OpCode!B143="Y","(*U*)","(* *)")&amp;
" with OpCodes[$"&amp;OpCode!A143&amp;"] do begin" &amp;
" code:= @"&amp;A143&amp;";"&amp;
" inst:= '"&amp;OpCode!C143&amp;"';"&amp;
" fmt:= '"&amp;OpCode!C143&amp;IF(OpCode!D143&lt;&gt;"","'+#9+'"&amp;convertFormat(OpCode!D143),"")&amp;"'"&amp;";"&amp;
" group:= Egroup."&amp;OpCode!E143&amp;";"&amp;
" mode:= Emode."&amp;OpCode!F143&amp;";"&amp;
" len:= "&amp;OpCode!G143&amp;";"&amp;
" cycle:= ["&amp;SUBSTITUTE(OpCode!H143,"|",",")&amp;"];"&amp;
" end;"</f>
        <v>(* *) with OpCodes[$8D] do begin code:= @op_STA_abs; inst:= 'STA'; fmt:= 'STA'+#9+'$%.4x'; group:= Egroup.data; mode:= Emode.abs; len:= 3; cycle:= [3]; end;</v>
      </c>
    </row>
    <row r="144" spans="1:4" ht="78.75" x14ac:dyDescent="0.25">
      <c r="A144" s="18" t="str">
        <f>"op"&amp;"_"&amp;OpCode!C144&amp;ConvertFormat2(OpCode!D144)</f>
        <v>op_STX_abs</v>
      </c>
      <c r="B144" s="19" t="str">
        <f t="shared" si="2"/>
        <v>procedure TCPU_6502.op_STX_abs;</v>
      </c>
      <c r="C144" s="20" t="str">
        <f>$B144&amp;CHAR(10)&amp;ConvertCode(OpCode!K144,OpCode!I144,OpCode!H144,"")</f>
        <v>procedure TCPU_6502.op_STX_abs;
var 
  MA: iSize16;
  b1: iSize8;
  b2: iSize8;
begin
  b1:= ReadMem(PC);
  PC:= (PC+1) and $FFFF;
  b2:= ReadMem(PC);
  PC:= (PC+1) and $FFFF;
  MA:= b1 + b2 shl 8;
  WriteMem(MA, X and $FF);
  inc(cycles, 3);
end;</v>
      </c>
      <c r="D144" s="19" t="str">
        <f>IF(OpCode!B144="Y","(*U*)","(* *)")&amp;
" with OpCodes[$"&amp;OpCode!A144&amp;"] do begin" &amp;
" code:= @"&amp;A144&amp;";"&amp;
" inst:= '"&amp;OpCode!C144&amp;"';"&amp;
" fmt:= '"&amp;OpCode!C144&amp;IF(OpCode!D144&lt;&gt;"","'+#9+'"&amp;convertFormat(OpCode!D144),"")&amp;"'"&amp;";"&amp;
" group:= Egroup."&amp;OpCode!E144&amp;";"&amp;
" mode:= Emode."&amp;OpCode!F144&amp;";"&amp;
" len:= "&amp;OpCode!G144&amp;";"&amp;
" cycle:= ["&amp;SUBSTITUTE(OpCode!H144,"|",",")&amp;"];"&amp;
" end;"</f>
        <v>(* *) with OpCodes[$8E] do begin code:= @op_STX_abs; inst:= 'STX'; fmt:= 'STX'+#9+'$%.4x'; group:= Egroup.data; mode:= Emode.abs; len:= 3; cycle:= [3]; end;</v>
      </c>
    </row>
    <row r="145" spans="1:4" ht="78.75" x14ac:dyDescent="0.25">
      <c r="A145" s="18" t="str">
        <f>"op"&amp;"_"&amp;OpCode!C145&amp;ConvertFormat2(OpCode!D145)</f>
        <v>op_BBS0_dp,rel8</v>
      </c>
      <c r="B145" s="19" t="str">
        <f t="shared" si="2"/>
        <v>procedure TCPU_6502.op_BBS0_dp,rel8;</v>
      </c>
      <c r="C145" s="20" t="str">
        <f>$B145&amp;CHAR(10)&amp;ConvertCode(OpCode!K145,OpCode!I145,OpCode!H145,"")</f>
        <v>procedure TCPU_6502.op_BBS0_dp,rel8;
begin
  Branch on Bit Set. Tests a specific bit of a byte held on zero page and causes a branch of the bit is set (1);
  inc(cycles, 2|3);
end;</v>
      </c>
      <c r="D145" s="19" t="str">
        <f>IF(OpCode!B145="Y","(*U*)","(* *)")&amp;
" with OpCodes[$"&amp;OpCode!A145&amp;"] do begin" &amp;
" code:= @"&amp;A145&amp;";"&amp;
" inst:= '"&amp;OpCode!C145&amp;"';"&amp;
" fmt:= '"&amp;OpCode!C145&amp;IF(OpCode!D145&lt;&gt;"","'+#9+'"&amp;convertFormat(OpCode!D145),"")&amp;"'"&amp;";"&amp;
" group:= Egroup."&amp;OpCode!E145&amp;";"&amp;
" mode:= Emode."&amp;OpCode!F145&amp;";"&amp;
" len:= "&amp;OpCode!G145&amp;";"&amp;
" cycle:= ["&amp;SUBSTITUTE(OpCode!H145,"|",",")&amp;"];"&amp;
" end;"</f>
        <v>(* *) with OpCodes[$8F] do begin code:= @op_BBS0_dp,rel8; inst:= 'BBS0'; fmt:= 'BBS0'+#9+'$%.2x,%d'; group:= Egroup.branch; mode:= Emode.dp_rel; len:= 3; cycle:= [2,3]; end;</v>
      </c>
    </row>
    <row r="146" spans="1:4" ht="78.75" x14ac:dyDescent="0.25">
      <c r="A146" s="18" t="str">
        <f>"op"&amp;"_"&amp;OpCode!C146&amp;ConvertFormat2(OpCode!D146)</f>
        <v>op_BCC_rel8</v>
      </c>
      <c r="B146" s="19" t="str">
        <f t="shared" si="2"/>
        <v>procedure TCPU_6502.op_BCC_rel8;</v>
      </c>
      <c r="C146" s="20" t="str">
        <f>$B146&amp;CHAR(10)&amp;ConvertCode(OpCode!K146,OpCode!I146,OpCode!H146,"")</f>
        <v>procedure TCPU_6502.op_BCC_rel8;
var 
  b1: iSize8;
begin
  b1:= ReadMem(PC);
  PC:= (PC+1) and $FFFF;
  if not C  then PC:= ((PC + b1) and $FF);
  inc(cycles, 2|3);
end;</v>
      </c>
      <c r="D146" s="19" t="str">
        <f>IF(OpCode!B146="Y","(*U*)","(* *)")&amp;
" with OpCodes[$"&amp;OpCode!A146&amp;"] do begin" &amp;
" code:= @"&amp;A146&amp;";"&amp;
" inst:= '"&amp;OpCode!C146&amp;"';"&amp;
" fmt:= '"&amp;OpCode!C146&amp;IF(OpCode!D146&lt;&gt;"","'+#9+'"&amp;convertFormat(OpCode!D146),"")&amp;"'"&amp;";"&amp;
" group:= Egroup."&amp;OpCode!E146&amp;";"&amp;
" mode:= Emode."&amp;OpCode!F146&amp;";"&amp;
" len:= "&amp;OpCode!G146&amp;";"&amp;
" cycle:= ["&amp;SUBSTITUTE(OpCode!H146,"|",",")&amp;"];"&amp;
" end;"</f>
        <v>(* *) with OpCodes[$90] do begin code:= @op_BCC_rel8; inst:= 'BCC'; fmt:= 'BCC'+#9+'%d'; group:= Egroup.branch; mode:= Emode.rel; len:= 2; cycle:= [2,3]; end;</v>
      </c>
    </row>
    <row r="147" spans="1:4" ht="78.75" x14ac:dyDescent="0.25">
      <c r="A147" s="18" t="str">
        <f>"op"&amp;"_"&amp;OpCode!C147&amp;ConvertFormat2(OpCode!D147)</f>
        <v>op_STA_dp_ind_idY</v>
      </c>
      <c r="B147" s="19" t="str">
        <f t="shared" si="2"/>
        <v>procedure TCPU_6502.op_STA_dp_ind_idY;</v>
      </c>
      <c r="C147" s="20" t="str">
        <f>$B147&amp;CHAR(10)&amp;ConvertCode(OpCode!K147,OpCode!I147,OpCode!H147,"")</f>
        <v>procedure TCPU_6502.op_STA_dp_ind_idY;
var 
  MA: iSize16;
  b1: iSize8;
begin
  b1:= ReadMem(PC);
  PC:= (PC+1) and $FFFF;
  MA:= b1;
  MA:= ReadMem(MA)+256*ReadMem((MA+1) and $FFFF) + Y;
  WriteMem(MA, A and $FF);
  inc(cycles, 6);
end;</v>
      </c>
      <c r="D147" s="19" t="str">
        <f>IF(OpCode!B147="Y","(*U*)","(* *)")&amp;
" with OpCodes[$"&amp;OpCode!A147&amp;"] do begin" &amp;
" code:= @"&amp;A147&amp;";"&amp;
" inst:= '"&amp;OpCode!C147&amp;"';"&amp;
" fmt:= '"&amp;OpCode!C147&amp;IF(OpCode!D147&lt;&gt;"","'+#9+'"&amp;convertFormat(OpCode!D147),"")&amp;"'"&amp;";"&amp;
" group:= Egroup."&amp;OpCode!E147&amp;";"&amp;
" mode:= Emode."&amp;OpCode!F147&amp;";"&amp;
" len:= "&amp;OpCode!G147&amp;";"&amp;
" cycle:= ["&amp;SUBSTITUTE(OpCode!H147,"|",",")&amp;"];"&amp;
" end;"</f>
        <v>(* *) with OpCodes[$91] do begin code:= @op_STA_dp_ind_idY; inst:= 'STA'; fmt:= 'STA'+#9+'($%.2x),Y'; group:= Egroup.data; mode:= Emode.dp_ind_idx; len:= 2; cycle:= [6]; end;</v>
      </c>
    </row>
    <row r="148" spans="1:4" ht="78.75" x14ac:dyDescent="0.25">
      <c r="A148" s="18" t="str">
        <f>"op"&amp;"_"&amp;OpCode!C148&amp;ConvertFormat2(OpCode!D148)</f>
        <v>op_STA_dp_ind</v>
      </c>
      <c r="B148" s="19" t="str">
        <f t="shared" si="2"/>
        <v>procedure TCPU_6502.op_STA_dp_ind;</v>
      </c>
      <c r="C148" s="20" t="str">
        <f>$B148&amp;CHAR(10)&amp;ConvertCode(OpCode!K148,OpCode!I148,OpCode!H148,"")</f>
        <v>procedure TCPU_6502.op_STA_dp_ind;
var 
  MA: iSize16;
  b1: iSize8;
begin
  b1:= ReadMem(PC);
  PC:= (PC+1) and $FFFF;
  MA:= b1;
  MA:= ReadMem(MA)+256*ReadMem((MA+1) and $FFFF);
  WriteMem(MA, A and $FF);
  inc(cycles, 5);
end;</v>
      </c>
      <c r="D148" s="19" t="str">
        <f>IF(OpCode!B148="Y","(*U*)","(* *)")&amp;
" with OpCodes[$"&amp;OpCode!A148&amp;"] do begin" &amp;
" code:= @"&amp;A148&amp;";"&amp;
" inst:= '"&amp;OpCode!C148&amp;"';"&amp;
" fmt:= '"&amp;OpCode!C148&amp;IF(OpCode!D148&lt;&gt;"","'+#9+'"&amp;convertFormat(OpCode!D148),"")&amp;"'"&amp;";"&amp;
" group:= Egroup."&amp;OpCode!E148&amp;";"&amp;
" mode:= Emode."&amp;OpCode!F148&amp;";"&amp;
" len:= "&amp;OpCode!G148&amp;";"&amp;
" cycle:= ["&amp;SUBSTITUTE(OpCode!H148,"|",",")&amp;"];"&amp;
" end;"</f>
        <v>(* *) with OpCodes[$92] do begin code:= @op_STA_dp_ind; inst:= 'STA'; fmt:= 'STA'+#9+'($%.2x)'; group:= Egroup.data; mode:= Emode.dp_ind; len:= 2; cycle:= [5]; end;</v>
      </c>
    </row>
    <row r="149" spans="1:4" ht="78.75" x14ac:dyDescent="0.25">
      <c r="A149" s="18" t="str">
        <f>"op"&amp;"_"&amp;OpCode!C149&amp;ConvertFormat2(OpCode!D149)</f>
        <v>op_NOP</v>
      </c>
      <c r="B149" s="19" t="str">
        <f t="shared" si="2"/>
        <v>procedure TCPU_6502.op_NOP;</v>
      </c>
      <c r="C149" s="20" t="str">
        <f>$B149&amp;CHAR(10)&amp;ConvertCode(OpCode!K149,OpCode!I149,OpCode!H149,"")</f>
        <v>procedure TCPU_6502.op_NOP;
begin
  No operation;
  inc(cycles, 2);
end;</v>
      </c>
      <c r="D149" s="19" t="str">
        <f>IF(OpCode!B149="Y","(*U*)","(* *)")&amp;
" with OpCodes[$"&amp;OpCode!A149&amp;"] do begin" &amp;
" code:= @"&amp;A149&amp;";"&amp;
" inst:= '"&amp;OpCode!C149&amp;"';"&amp;
" fmt:= '"&amp;OpCode!C149&amp;IF(OpCode!D149&lt;&gt;"","'+#9+'"&amp;convertFormat(OpCode!D149),"")&amp;"'"&amp;";"&amp;
" group:= Egroup."&amp;OpCode!E149&amp;";"&amp;
" mode:= Emode."&amp;OpCode!F149&amp;";"&amp;
" len:= "&amp;OpCode!G149&amp;";"&amp;
" cycle:= ["&amp;SUBSTITUTE(OpCode!H149,"|",",")&amp;"];"&amp;
" end;"</f>
        <v>(* *) with OpCodes[$93] do begin code:= @op_NOP; inst:= 'NOP'; fmt:= 'NOP'; group:= Egroup.control; mode:= Emode.imp; len:= 1; cycle:= [2]; end;</v>
      </c>
    </row>
    <row r="150" spans="1:4" ht="78.75" x14ac:dyDescent="0.25">
      <c r="A150" s="18" t="str">
        <f>"op"&amp;"_"&amp;OpCode!C150&amp;ConvertFormat2(OpCode!D150)</f>
        <v>op_STY_dp_idX</v>
      </c>
      <c r="B150" s="19" t="str">
        <f t="shared" si="2"/>
        <v>procedure TCPU_6502.op_STY_dp_idX;</v>
      </c>
      <c r="C150" s="20" t="str">
        <f>$B150&amp;CHAR(10)&amp;ConvertCode(OpCode!K150,OpCode!I150,OpCode!H150,"")</f>
        <v>procedure TCPU_6502.op_STY_dp_idX;
var 
  MA: iSize16;
  b1: iSize8;
begin
  b1:= ReadMem(PC);
  PC:= (PC+1) and $FFFF;
  MA:= ((b1 + X) and $FFFF);
  WriteMem(MA, Y and $FF);
  inc(cycles, 4);
end;</v>
      </c>
      <c r="D150" s="19" t="str">
        <f>IF(OpCode!B150="Y","(*U*)","(* *)")&amp;
" with OpCodes[$"&amp;OpCode!A150&amp;"] do begin" &amp;
" code:= @"&amp;A150&amp;";"&amp;
" inst:= '"&amp;OpCode!C150&amp;"';"&amp;
" fmt:= '"&amp;OpCode!C150&amp;IF(OpCode!D150&lt;&gt;"","'+#9+'"&amp;convertFormat(OpCode!D150),"")&amp;"'"&amp;";"&amp;
" group:= Egroup."&amp;OpCode!E150&amp;";"&amp;
" mode:= Emode."&amp;OpCode!F150&amp;";"&amp;
" len:= "&amp;OpCode!G150&amp;";"&amp;
" cycle:= ["&amp;SUBSTITUTE(OpCode!H150,"|",",")&amp;"];"&amp;
" end;"</f>
        <v>(* *) with OpCodes[$94] do begin code:= @op_STY_dp_idX; inst:= 'STY'; fmt:= 'STY'+#9+'$%.2x,X'; group:= Egroup.data; mode:= Emode.dp_idx; len:= 2; cycle:= [4]; end;</v>
      </c>
    </row>
    <row r="151" spans="1:4" ht="78.75" x14ac:dyDescent="0.25">
      <c r="A151" s="18" t="str">
        <f>"op"&amp;"_"&amp;OpCode!C151&amp;ConvertFormat2(OpCode!D151)</f>
        <v>op_STA_dp_idX</v>
      </c>
      <c r="B151" s="19" t="str">
        <f t="shared" si="2"/>
        <v>procedure TCPU_6502.op_STA_dp_idX;</v>
      </c>
      <c r="C151" s="20" t="str">
        <f>$B151&amp;CHAR(10)&amp;ConvertCode(OpCode!K151,OpCode!I151,OpCode!H151,"")</f>
        <v>procedure TCPU_6502.op_STA_dp_idX;
var 
  MA: iSize16;
  b1: iSize8;
begin
  b1:= ReadMem(PC);
  PC:= (PC+1) and $FFFF;
  MA:= ((b1 + X) and $FFFF);
  WriteMem(MA, A and $FF);
  inc(cycles, 4);
end;</v>
      </c>
      <c r="D151" s="19" t="str">
        <f>IF(OpCode!B151="Y","(*U*)","(* *)")&amp;
" with OpCodes[$"&amp;OpCode!A151&amp;"] do begin" &amp;
" code:= @"&amp;A151&amp;";"&amp;
" inst:= '"&amp;OpCode!C151&amp;"';"&amp;
" fmt:= '"&amp;OpCode!C151&amp;IF(OpCode!D151&lt;&gt;"","'+#9+'"&amp;convertFormat(OpCode!D151),"")&amp;"'"&amp;";"&amp;
" group:= Egroup."&amp;OpCode!E151&amp;";"&amp;
" mode:= Emode."&amp;OpCode!F151&amp;";"&amp;
" len:= "&amp;OpCode!G151&amp;";"&amp;
" cycle:= ["&amp;SUBSTITUTE(OpCode!H151,"|",",")&amp;"];"&amp;
" end;"</f>
        <v>(* *) with OpCodes[$95] do begin code:= @op_STA_dp_idX; inst:= 'STA'; fmt:= 'STA'+#9+'$%.2x,X'; group:= Egroup.data; mode:= Emode.dp_idx; len:= 2; cycle:= [4]; end;</v>
      </c>
    </row>
    <row r="152" spans="1:4" ht="78.75" x14ac:dyDescent="0.25">
      <c r="A152" s="18" t="str">
        <f>"op"&amp;"_"&amp;OpCode!C152&amp;ConvertFormat2(OpCode!D152)</f>
        <v>op_STX_dp_idY</v>
      </c>
      <c r="B152" s="19" t="str">
        <f t="shared" si="2"/>
        <v>procedure TCPU_6502.op_STX_dp_idY;</v>
      </c>
      <c r="C152" s="20" t="str">
        <f>$B152&amp;CHAR(10)&amp;ConvertCode(OpCode!K152,OpCode!I152,OpCode!H152,"")</f>
        <v>procedure TCPU_6502.op_STX_dp_idY;
var 
  MA: iSize16;
  b1: iSize8;
begin
  b1:= ReadMem(PC);
  PC:= (PC+1) and $FFFF;
  MA:= ((b1 + Y) and $FFFF);
  WriteMem(MA, X and $FF);
  inc(cycles, 4);
end;</v>
      </c>
      <c r="D152" s="19" t="str">
        <f>IF(OpCode!B152="Y","(*U*)","(* *)")&amp;
" with OpCodes[$"&amp;OpCode!A152&amp;"] do begin" &amp;
" code:= @"&amp;A152&amp;";"&amp;
" inst:= '"&amp;OpCode!C152&amp;"';"&amp;
" fmt:= '"&amp;OpCode!C152&amp;IF(OpCode!D152&lt;&gt;"","'+#9+'"&amp;convertFormat(OpCode!D152),"")&amp;"'"&amp;";"&amp;
" group:= Egroup."&amp;OpCode!E152&amp;";"&amp;
" mode:= Emode."&amp;OpCode!F152&amp;";"&amp;
" len:= "&amp;OpCode!G152&amp;";"&amp;
" cycle:= ["&amp;SUBSTITUTE(OpCode!H152,"|",",")&amp;"];"&amp;
" end;"</f>
        <v>(* *) with OpCodes[$96] do begin code:= @op_STX_dp_idY; inst:= 'STX'; fmt:= 'STX'+#9+'$%.2x,Y'; group:= Egroup.data; mode:= Emode.dp_idx; len:= 2; cycle:= [4]; end;</v>
      </c>
    </row>
    <row r="153" spans="1:4" ht="78.75" x14ac:dyDescent="0.25">
      <c r="A153" s="18" t="str">
        <f>"op"&amp;"_"&amp;OpCode!C153&amp;ConvertFormat2(OpCode!D153)</f>
        <v>op_SMB1_dp</v>
      </c>
      <c r="B153" s="19" t="str">
        <f t="shared" si="2"/>
        <v>procedure TCPU_6502.op_SMB1_dp;</v>
      </c>
      <c r="C153" s="20" t="str">
        <f>$B153&amp;CHAR(10)&amp;ConvertCode(OpCode!K153,OpCode!I153,OpCode!H153,"")</f>
        <v>procedure TCPU_6502.op_SMB1_dp;
begin
  Set Memory Bit. Sets a specific bit of a byte held on zero page.;
  F[Flag_Z]:= (t = 0);
  inc(cycles, 5);
end;</v>
      </c>
      <c r="D153" s="19" t="str">
        <f>IF(OpCode!B153="Y","(*U*)","(* *)")&amp;
" with OpCodes[$"&amp;OpCode!A153&amp;"] do begin" &amp;
" code:= @"&amp;A153&amp;";"&amp;
" inst:= '"&amp;OpCode!C153&amp;"';"&amp;
" fmt:= '"&amp;OpCode!C153&amp;IF(OpCode!D153&lt;&gt;"","'+#9+'"&amp;convertFormat(OpCode!D153),"")&amp;"'"&amp;";"&amp;
" group:= Egroup."&amp;OpCode!E153&amp;";"&amp;
" mode:= Emode."&amp;OpCode!F153&amp;";"&amp;
" len:= "&amp;OpCode!G153&amp;";"&amp;
" cycle:= ["&amp;SUBSTITUTE(OpCode!H153,"|",",")&amp;"];"&amp;
" end;"</f>
        <v>(* *) with OpCodes[$97] do begin code:= @op_SMB1_dp; inst:= 'SMB1'; fmt:= 'SMB1'+#9+'$%.2x'; group:= Egroup.logic; mode:= Emode.dp; len:= 2; cycle:= [5]; end;</v>
      </c>
    </row>
    <row r="154" spans="1:4" ht="78.75" x14ac:dyDescent="0.25">
      <c r="A154" s="18" t="str">
        <f>"op"&amp;"_"&amp;OpCode!C154&amp;ConvertFormat2(OpCode!D154)</f>
        <v>op_TYA</v>
      </c>
      <c r="B154" s="19" t="str">
        <f t="shared" si="2"/>
        <v>procedure TCPU_6502.op_TYA;</v>
      </c>
      <c r="C154" s="20" t="str">
        <f>$B154&amp;CHAR(10)&amp;ConvertCode(OpCode!K154,OpCode!I154,OpCode!H154,"")</f>
        <v>procedure TCPU_6502.op_TYA;
begin
  A:= ((Y) and $FF);
  F[Flag_Z]:= (t = 0);
  F[Flag_N]:= (t and $80) = $80;
  inc(cycles, 2);
end;</v>
      </c>
      <c r="D154" s="19" t="str">
        <f>IF(OpCode!B154="Y","(*U*)","(* *)")&amp;
" with OpCodes[$"&amp;OpCode!A154&amp;"] do begin" &amp;
" code:= @"&amp;A154&amp;";"&amp;
" inst:= '"&amp;OpCode!C154&amp;"';"&amp;
" fmt:= '"&amp;OpCode!C154&amp;IF(OpCode!D154&lt;&gt;"","'+#9+'"&amp;convertFormat(OpCode!D154),"")&amp;"'"&amp;";"&amp;
" group:= Egroup."&amp;OpCode!E154&amp;";"&amp;
" mode:= Emode."&amp;OpCode!F154&amp;";"&amp;
" len:= "&amp;OpCode!G154&amp;";"&amp;
" cycle:= ["&amp;SUBSTITUTE(OpCode!H154,"|",",")&amp;"];"&amp;
" end;"</f>
        <v>(* *) with OpCodes[$98] do begin code:= @op_TYA; inst:= 'TYA'; fmt:= 'TYA'; group:= Egroup.data; mode:= Emode.imp; len:= 1; cycle:= [2]; end;</v>
      </c>
    </row>
    <row r="155" spans="1:4" ht="78.75" x14ac:dyDescent="0.25">
      <c r="A155" s="18" t="str">
        <f>"op"&amp;"_"&amp;OpCode!C155&amp;ConvertFormat2(OpCode!D155)</f>
        <v>op_STA_abs_idY</v>
      </c>
      <c r="B155" s="19" t="str">
        <f t="shared" si="2"/>
        <v>procedure TCPU_6502.op_STA_abs_idY;</v>
      </c>
      <c r="C155" s="20" t="str">
        <f>$B155&amp;CHAR(10)&amp;ConvertCode(OpCode!K155,OpCode!I155,OpCode!H155,"")</f>
        <v>procedure TCPU_6502.op_STA_abs_idY;
var 
  MA: iSize16;
  b1: iSize8;
  b2: iSize8;
begin
  b1:= ReadMem(PC);
  PC:= (PC+1) and $FFFF;
  b2:= ReadMem(PC);
  PC:= (PC+1) and $FFFF;
  MA:= ((b1 + b2 shl 8 + Y) and $FFFF);
  WriteMem(MA, A and $FF);
  inc(cycles, 5);
end;</v>
      </c>
      <c r="D155" s="19" t="str">
        <f>IF(OpCode!B155="Y","(*U*)","(* *)")&amp;
" with OpCodes[$"&amp;OpCode!A155&amp;"] do begin" &amp;
" code:= @"&amp;A155&amp;";"&amp;
" inst:= '"&amp;OpCode!C155&amp;"';"&amp;
" fmt:= '"&amp;OpCode!C155&amp;IF(OpCode!D155&lt;&gt;"","'+#9+'"&amp;convertFormat(OpCode!D155),"")&amp;"'"&amp;";"&amp;
" group:= Egroup."&amp;OpCode!E155&amp;";"&amp;
" mode:= Emode."&amp;OpCode!F155&amp;";"&amp;
" len:= "&amp;OpCode!G155&amp;";"&amp;
" cycle:= ["&amp;SUBSTITUTE(OpCode!H155,"|",",")&amp;"];"&amp;
" end;"</f>
        <v>(* *) with OpCodes[$99] do begin code:= @op_STA_abs_idY; inst:= 'STA'; fmt:= 'STA'+#9+'$%.4x,Y'; group:= Egroup.data; mode:= Emode.abs_idx; len:= 3; cycle:= [5]; end;</v>
      </c>
    </row>
    <row r="156" spans="1:4" ht="78.75" x14ac:dyDescent="0.25">
      <c r="A156" s="18" t="str">
        <f>"op"&amp;"_"&amp;OpCode!C156&amp;ConvertFormat2(OpCode!D156)</f>
        <v>op_TXS</v>
      </c>
      <c r="B156" s="19" t="str">
        <f t="shared" si="2"/>
        <v>procedure TCPU_6502.op_TXS;</v>
      </c>
      <c r="C156" s="20" t="str">
        <f>$B156&amp;CHAR(10)&amp;ConvertCode(OpCode!K156,OpCode!I156,OpCode!H156,"")</f>
        <v>procedure TCPU_6502.op_TXS;
begin
  S:= ((X) and $FF);
  inc(cycles, 2);
end;</v>
      </c>
      <c r="D156" s="19" t="str">
        <f>IF(OpCode!B156="Y","(*U*)","(* *)")&amp;
" with OpCodes[$"&amp;OpCode!A156&amp;"] do begin" &amp;
" code:= @"&amp;A156&amp;";"&amp;
" inst:= '"&amp;OpCode!C156&amp;"';"&amp;
" fmt:= '"&amp;OpCode!C156&amp;IF(OpCode!D156&lt;&gt;"","'+#9+'"&amp;convertFormat(OpCode!D156),"")&amp;"'"&amp;";"&amp;
" group:= Egroup."&amp;OpCode!E156&amp;";"&amp;
" mode:= Emode."&amp;OpCode!F156&amp;";"&amp;
" len:= "&amp;OpCode!G156&amp;";"&amp;
" cycle:= ["&amp;SUBSTITUTE(OpCode!H156,"|",",")&amp;"];"&amp;
" end;"</f>
        <v>(* *) with OpCodes[$9A] do begin code:= @op_TXS; inst:= 'TXS'; fmt:= 'TXS'; group:= Egroup.stack; mode:= Emode.imp; len:= 1; cycle:= [2]; end;</v>
      </c>
    </row>
    <row r="157" spans="1:4" ht="78.75" x14ac:dyDescent="0.25">
      <c r="A157" s="18" t="str">
        <f>"op"&amp;"_"&amp;OpCode!C157&amp;ConvertFormat2(OpCode!D157)</f>
        <v>op_NOP</v>
      </c>
      <c r="B157" s="19" t="str">
        <f t="shared" si="2"/>
        <v>procedure TCPU_6502.op_NOP;</v>
      </c>
      <c r="C157" s="20" t="str">
        <f>$B157&amp;CHAR(10)&amp;ConvertCode(OpCode!K157,OpCode!I157,OpCode!H157,"")</f>
        <v>procedure TCPU_6502.op_NOP;
begin
  No operation;
  inc(cycles, 2);
end;</v>
      </c>
      <c r="D157" s="19" t="str">
        <f>IF(OpCode!B157="Y","(*U*)","(* *)")&amp;
" with OpCodes[$"&amp;OpCode!A157&amp;"] do begin" &amp;
" code:= @"&amp;A157&amp;";"&amp;
" inst:= '"&amp;OpCode!C157&amp;"';"&amp;
" fmt:= '"&amp;OpCode!C157&amp;IF(OpCode!D157&lt;&gt;"","'+#9+'"&amp;convertFormat(OpCode!D157),"")&amp;"'"&amp;";"&amp;
" group:= Egroup."&amp;OpCode!E157&amp;";"&amp;
" mode:= Emode."&amp;OpCode!F157&amp;";"&amp;
" len:= "&amp;OpCode!G157&amp;";"&amp;
" cycle:= ["&amp;SUBSTITUTE(OpCode!H157,"|",",")&amp;"];"&amp;
" end;"</f>
        <v>(* *) with OpCodes[$9B] do begin code:= @op_NOP; inst:= 'NOP'; fmt:= 'NOP'; group:= Egroup.control; mode:= Emode.imp; len:= 1; cycle:= [2]; end;</v>
      </c>
    </row>
    <row r="158" spans="1:4" ht="78.75" x14ac:dyDescent="0.25">
      <c r="A158" s="18" t="str">
        <f>"op"&amp;"_"&amp;OpCode!C158&amp;ConvertFormat2(OpCode!D158)</f>
        <v>op_STZ_abs</v>
      </c>
      <c r="B158" s="19" t="str">
        <f t="shared" si="2"/>
        <v>procedure TCPU_6502.op_STZ_abs;</v>
      </c>
      <c r="C158" s="20" t="str">
        <f>$B158&amp;CHAR(10)&amp;ConvertCode(OpCode!K158,OpCode!I158,OpCode!H158,"")</f>
        <v>procedure TCPU_6502.op_STZ_abs;
var 
  MA: iSize16;
  b1: iSize8;
  b2: iSize8;
begin
  b1:= ReadMem(PC);
  PC:= (PC+1) and $FFFF;
  b2:= ReadMem(PC);
  PC:= (PC+1) and $FFFF;
  MA:= b1 + b2 shl 8;
  WriteMem(MA, 0 and $FF);
  inc(cycles, 4);
end;</v>
      </c>
      <c r="D158" s="19" t="str">
        <f>IF(OpCode!B158="Y","(*U*)","(* *)")&amp;
" with OpCodes[$"&amp;OpCode!A158&amp;"] do begin" &amp;
" code:= @"&amp;A158&amp;";"&amp;
" inst:= '"&amp;OpCode!C158&amp;"';"&amp;
" fmt:= '"&amp;OpCode!C158&amp;IF(OpCode!D158&lt;&gt;"","'+#9+'"&amp;convertFormat(OpCode!D158),"")&amp;"'"&amp;";"&amp;
" group:= Egroup."&amp;OpCode!E158&amp;";"&amp;
" mode:= Emode."&amp;OpCode!F158&amp;";"&amp;
" len:= "&amp;OpCode!G158&amp;";"&amp;
" cycle:= ["&amp;SUBSTITUTE(OpCode!H158,"|",",")&amp;"];"&amp;
" end;"</f>
        <v>(* *) with OpCodes[$9C] do begin code:= @op_STZ_abs; inst:= 'STZ'; fmt:= 'STZ'+#9+'$%.4x'; group:= Egroup.data; mode:= Emode.abs; len:= 3; cycle:= [4]; end;</v>
      </c>
    </row>
    <row r="159" spans="1:4" ht="78.75" x14ac:dyDescent="0.25">
      <c r="A159" s="18" t="str">
        <f>"op"&amp;"_"&amp;OpCode!C159&amp;ConvertFormat2(OpCode!D159)</f>
        <v>op_STA_abs_idX</v>
      </c>
      <c r="B159" s="19" t="str">
        <f t="shared" si="2"/>
        <v>procedure TCPU_6502.op_STA_abs_idX;</v>
      </c>
      <c r="C159" s="20" t="str">
        <f>$B159&amp;CHAR(10)&amp;ConvertCode(OpCode!K159,OpCode!I159,OpCode!H159,"")</f>
        <v>procedure TCPU_6502.op_STA_abs_idX;
var 
  MA: iSize16;
  b1: iSize8;
  b2: iSize8;
begin
  b1:= ReadMem(PC);
  PC:= (PC+1) and $FFFF;
  b2:= ReadMem(PC);
  PC:= (PC+1) and $FFFF;
  MA:= ((b1 + b2 shl 8 + X) and $FFFF);
  WriteMem(MA, A and $FF);
  inc(cycles, 5);
end;</v>
      </c>
      <c r="D159" s="19" t="str">
        <f>IF(OpCode!B159="Y","(*U*)","(* *)")&amp;
" with OpCodes[$"&amp;OpCode!A159&amp;"] do begin" &amp;
" code:= @"&amp;A159&amp;";"&amp;
" inst:= '"&amp;OpCode!C159&amp;"';"&amp;
" fmt:= '"&amp;OpCode!C159&amp;IF(OpCode!D159&lt;&gt;"","'+#9+'"&amp;convertFormat(OpCode!D159),"")&amp;"'"&amp;";"&amp;
" group:= Egroup."&amp;OpCode!E159&amp;";"&amp;
" mode:= Emode."&amp;OpCode!F159&amp;";"&amp;
" len:= "&amp;OpCode!G159&amp;";"&amp;
" cycle:= ["&amp;SUBSTITUTE(OpCode!H159,"|",",")&amp;"];"&amp;
" end;"</f>
        <v>(* *) with OpCodes[$9D] do begin code:= @op_STA_abs_idX; inst:= 'STA'; fmt:= 'STA'+#9+'$%.4x,X'; group:= Egroup.data; mode:= Emode.abs_idx; len:= 3; cycle:= [5]; end;</v>
      </c>
    </row>
    <row r="160" spans="1:4" ht="78.75" x14ac:dyDescent="0.25">
      <c r="A160" s="18" t="str">
        <f>"op"&amp;"_"&amp;OpCode!C160&amp;ConvertFormat2(OpCode!D160)</f>
        <v>op_STZ_abs_idX</v>
      </c>
      <c r="B160" s="19" t="str">
        <f t="shared" si="2"/>
        <v>procedure TCPU_6502.op_STZ_abs_idX;</v>
      </c>
      <c r="C160" s="20" t="str">
        <f>$B160&amp;CHAR(10)&amp;ConvertCode(OpCode!K160,OpCode!I160,OpCode!H160,"")</f>
        <v>procedure TCPU_6502.op_STZ_abs_idX;
var 
  MA: iSize16;
  b1: iSize8;
  b2: iSize8;
begin
  b1:= ReadMem(PC);
  PC:= (PC+1) and $FFFF;
  b2:= ReadMem(PC);
  PC:= (PC+1) and $FFFF;
  MA:= ((b1 + b2 shl 8 + X) and $FFFF);
  WriteMem(MA, 0 and $FF);
  inc(cycles, 5);
end;</v>
      </c>
      <c r="D160" s="19" t="str">
        <f>IF(OpCode!B160="Y","(*U*)","(* *)")&amp;
" with OpCodes[$"&amp;OpCode!A160&amp;"] do begin" &amp;
" code:= @"&amp;A160&amp;";"&amp;
" inst:= '"&amp;OpCode!C160&amp;"';"&amp;
" fmt:= '"&amp;OpCode!C160&amp;IF(OpCode!D160&lt;&gt;"","'+#9+'"&amp;convertFormat(OpCode!D160),"")&amp;"'"&amp;";"&amp;
" group:= Egroup."&amp;OpCode!E160&amp;";"&amp;
" mode:= Emode."&amp;OpCode!F160&amp;";"&amp;
" len:= "&amp;OpCode!G160&amp;";"&amp;
" cycle:= ["&amp;SUBSTITUTE(OpCode!H160,"|",",")&amp;"];"&amp;
" end;"</f>
        <v>(* *) with OpCodes[$9E] do begin code:= @op_STZ_abs_idX; inst:= 'STZ'; fmt:= 'STZ'+#9+'$%.4x,X'; group:= Egroup.data; mode:= Emode.abs_idx; len:= 3; cycle:= [5]; end;</v>
      </c>
    </row>
    <row r="161" spans="1:4" ht="78.75" x14ac:dyDescent="0.25">
      <c r="A161" s="18" t="str">
        <f>"op"&amp;"_"&amp;OpCode!C161&amp;ConvertFormat2(OpCode!D161)</f>
        <v>op_BBS1_dp,rel8</v>
      </c>
      <c r="B161" s="19" t="str">
        <f t="shared" si="2"/>
        <v>procedure TCPU_6502.op_BBS1_dp,rel8;</v>
      </c>
      <c r="C161" s="20" t="str">
        <f>$B161&amp;CHAR(10)&amp;ConvertCode(OpCode!K161,OpCode!I161,OpCode!H161,"")</f>
        <v>procedure TCPU_6502.op_BBS1_dp,rel8;
begin
  Branch on Bit Set. Tests a specific bit of a byte held on zero page and causes a branch of the bit is set (1);
  inc(cycles, 2|3);
end;</v>
      </c>
      <c r="D161" s="19" t="str">
        <f>IF(OpCode!B161="Y","(*U*)","(* *)")&amp;
" with OpCodes[$"&amp;OpCode!A161&amp;"] do begin" &amp;
" code:= @"&amp;A161&amp;";"&amp;
" inst:= '"&amp;OpCode!C161&amp;"';"&amp;
" fmt:= '"&amp;OpCode!C161&amp;IF(OpCode!D161&lt;&gt;"","'+#9+'"&amp;convertFormat(OpCode!D161),"")&amp;"'"&amp;";"&amp;
" group:= Egroup."&amp;OpCode!E161&amp;";"&amp;
" mode:= Emode."&amp;OpCode!F161&amp;";"&amp;
" len:= "&amp;OpCode!G161&amp;";"&amp;
" cycle:= ["&amp;SUBSTITUTE(OpCode!H161,"|",",")&amp;"];"&amp;
" end;"</f>
        <v>(* *) with OpCodes[$9F] do begin code:= @op_BBS1_dp,rel8; inst:= 'BBS1'; fmt:= 'BBS1'+#9+'$%.2x,%d'; group:= Egroup.branch; mode:= Emode.dp_rel; len:= 3; cycle:= [2,3]; end;</v>
      </c>
    </row>
    <row r="162" spans="1:4" ht="78.75" x14ac:dyDescent="0.25">
      <c r="A162" s="18" t="str">
        <f>"op"&amp;"_"&amp;OpCode!C162&amp;ConvertFormat2(OpCode!D162)</f>
        <v>op_LDY_imm</v>
      </c>
      <c r="B162" s="19" t="str">
        <f t="shared" si="2"/>
        <v>procedure TCPU_6502.op_LDY_imm;</v>
      </c>
      <c r="C162" s="20" t="str">
        <f>$B162&amp;CHAR(10)&amp;ConvertCode(OpCode!K162,OpCode!I162,OpCode!H162,"")</f>
        <v>procedure TCPU_6502.op_LDY_imm;
var 
  b1: iSize8;
begin
  b1:= ReadMem(PC);
  PC:= (PC+1) and $FFFF;
  Y:= b1;
  F[Flag_Z]:= (t = 0);
  F[Flag_N]:= (t and $80) = $80;
  inc(cycles, 2);
end;</v>
      </c>
      <c r="D162" s="19" t="str">
        <f>IF(OpCode!B162="Y","(*U*)","(* *)")&amp;
" with OpCodes[$"&amp;OpCode!A162&amp;"] do begin" &amp;
" code:= @"&amp;A162&amp;";"&amp;
" inst:= '"&amp;OpCode!C162&amp;"';"&amp;
" fmt:= '"&amp;OpCode!C162&amp;IF(OpCode!D162&lt;&gt;"","'+#9+'"&amp;convertFormat(OpCode!D162),"")&amp;"'"&amp;";"&amp;
" group:= Egroup."&amp;OpCode!E162&amp;";"&amp;
" mode:= Emode."&amp;OpCode!F162&amp;";"&amp;
" len:= "&amp;OpCode!G162&amp;";"&amp;
" cycle:= ["&amp;SUBSTITUTE(OpCode!H162,"|",",")&amp;"];"&amp;
" end;"</f>
        <v>(* *) with OpCodes[$A0] do begin code:= @op_LDY_imm; inst:= 'LDY'; fmt:= 'LDY'+#9+'#%.2x'; group:= Egroup.data; mode:= Emode.imm; len:= 2; cycle:= [2]; end;</v>
      </c>
    </row>
    <row r="163" spans="1:4" ht="78.75" x14ac:dyDescent="0.25">
      <c r="A163" s="18" t="str">
        <f>"op"&amp;"_"&amp;OpCode!C163&amp;ConvertFormat2(OpCode!D163)</f>
        <v>op_LDA_dp_idX_ind</v>
      </c>
      <c r="B163" s="19" t="str">
        <f t="shared" si="2"/>
        <v>procedure TCPU_6502.op_LDA_dp_idX_ind;</v>
      </c>
      <c r="C163" s="20" t="str">
        <f>$B163&amp;CHAR(10)&amp;ConvertCode(OpCode!K163,OpCode!I163,OpCode!H163,"")</f>
        <v>procedure TCPU_6502.op_LDA_dp_idX_ind;
var 
  MA: iSize16;
  b1: iSize8;
begin
  b1:= ReadMem(PC);
  PC:= (PC+1) and $FFFF;
  MA:= ((b1 + X) and $FFFF);
  MA:= ReadMem(MA)+256*ReadMem((MA+1) and $FFFF);
  A:= (ReadMem(MA) and $FF);
  F[Flag_Z]:= (t = 0);
  F[Flag_N]:= (t and $80) = $80;
  inc(cycles, 6);
end;</v>
      </c>
      <c r="D163" s="19" t="str">
        <f>IF(OpCode!B163="Y","(*U*)","(* *)")&amp;
" with OpCodes[$"&amp;OpCode!A163&amp;"] do begin" &amp;
" code:= @"&amp;A163&amp;";"&amp;
" inst:= '"&amp;OpCode!C163&amp;"';"&amp;
" fmt:= '"&amp;OpCode!C163&amp;IF(OpCode!D163&lt;&gt;"","'+#9+'"&amp;convertFormat(OpCode!D163),"")&amp;"'"&amp;";"&amp;
" group:= Egroup."&amp;OpCode!E163&amp;";"&amp;
" mode:= Emode."&amp;OpCode!F163&amp;";"&amp;
" len:= "&amp;OpCode!G163&amp;";"&amp;
" cycle:= ["&amp;SUBSTITUTE(OpCode!H163,"|",",")&amp;"];"&amp;
" end;"</f>
        <v>(* *) with OpCodes[$A1] do begin code:= @op_LDA_dp_idX_ind; inst:= 'LDA'; fmt:= 'LDA'+#9+'($%.2x,X)'; group:= Egroup.data; mode:= Emode.dp_idx_ind; len:= 2; cycle:= [6]; end;</v>
      </c>
    </row>
    <row r="164" spans="1:4" ht="78.75" x14ac:dyDescent="0.25">
      <c r="A164" s="18" t="str">
        <f>"op"&amp;"_"&amp;OpCode!C164&amp;ConvertFormat2(OpCode!D164)</f>
        <v>op_LDX_imm</v>
      </c>
      <c r="B164" s="19" t="str">
        <f t="shared" si="2"/>
        <v>procedure TCPU_6502.op_LDX_imm;</v>
      </c>
      <c r="C164" s="20" t="str">
        <f>$B164&amp;CHAR(10)&amp;ConvertCode(OpCode!K164,OpCode!I164,OpCode!H164,"")</f>
        <v>procedure TCPU_6502.op_LDX_imm;
var 
  b1: iSize8;
begin
  b1:= ReadMem(PC);
  PC:= (PC+1) and $FFFF;
  X:= b1;
  F[Flag_Z]:= (t = 0);
  F[Flag_N]:= (t and $80) = $80;
  inc(cycles, 2);
end;</v>
      </c>
      <c r="D164" s="19" t="str">
        <f>IF(OpCode!B164="Y","(*U*)","(* *)")&amp;
" with OpCodes[$"&amp;OpCode!A164&amp;"] do begin" &amp;
" code:= @"&amp;A164&amp;";"&amp;
" inst:= '"&amp;OpCode!C164&amp;"';"&amp;
" fmt:= '"&amp;OpCode!C164&amp;IF(OpCode!D164&lt;&gt;"","'+#9+'"&amp;convertFormat(OpCode!D164),"")&amp;"'"&amp;";"&amp;
" group:= Egroup."&amp;OpCode!E164&amp;";"&amp;
" mode:= Emode."&amp;OpCode!F164&amp;";"&amp;
" len:= "&amp;OpCode!G164&amp;";"&amp;
" cycle:= ["&amp;SUBSTITUTE(OpCode!H164,"|",",")&amp;"];"&amp;
" end;"</f>
        <v>(* *) with OpCodes[$A2] do begin code:= @op_LDX_imm; inst:= 'LDX'; fmt:= 'LDX'+#9+'#%.2x'; group:= Egroup.data; mode:= Emode.imm; len:= 2; cycle:= [2]; end;</v>
      </c>
    </row>
    <row r="165" spans="1:4" ht="78.75" x14ac:dyDescent="0.25">
      <c r="A165" s="18" t="str">
        <f>"op"&amp;"_"&amp;OpCode!C165&amp;ConvertFormat2(OpCode!D165)</f>
        <v>op_NOP</v>
      </c>
      <c r="B165" s="19" t="str">
        <f t="shared" si="2"/>
        <v>procedure TCPU_6502.op_NOP;</v>
      </c>
      <c r="C165" s="20" t="str">
        <f>$B165&amp;CHAR(10)&amp;ConvertCode(OpCode!K165,OpCode!I165,OpCode!H165,"")</f>
        <v>procedure TCPU_6502.op_NOP;
begin
  No operation;
  inc(cycles, 2);
end;</v>
      </c>
      <c r="D165" s="19" t="str">
        <f>IF(OpCode!B165="Y","(*U*)","(* *)")&amp;
" with OpCodes[$"&amp;OpCode!A165&amp;"] do begin" &amp;
" code:= @"&amp;A165&amp;";"&amp;
" inst:= '"&amp;OpCode!C165&amp;"';"&amp;
" fmt:= '"&amp;OpCode!C165&amp;IF(OpCode!D165&lt;&gt;"","'+#9+'"&amp;convertFormat(OpCode!D165),"")&amp;"'"&amp;";"&amp;
" group:= Egroup."&amp;OpCode!E165&amp;";"&amp;
" mode:= Emode."&amp;OpCode!F165&amp;";"&amp;
" len:= "&amp;OpCode!G165&amp;";"&amp;
" cycle:= ["&amp;SUBSTITUTE(OpCode!H165,"|",",")&amp;"];"&amp;
" end;"</f>
        <v>(* *) with OpCodes[$A3] do begin code:= @op_NOP; inst:= 'NOP'; fmt:= 'NOP'; group:= Egroup.control; mode:= Emode.imp; len:= 1; cycle:= [2]; end;</v>
      </c>
    </row>
    <row r="166" spans="1:4" ht="78.75" x14ac:dyDescent="0.25">
      <c r="A166" s="18" t="str">
        <f>"op"&amp;"_"&amp;OpCode!C166&amp;ConvertFormat2(OpCode!D166)</f>
        <v>op_LDY_dp</v>
      </c>
      <c r="B166" s="19" t="str">
        <f t="shared" si="2"/>
        <v>procedure TCPU_6502.op_LDY_dp;</v>
      </c>
      <c r="C166" s="20" t="str">
        <f>$B166&amp;CHAR(10)&amp;ConvertCode(OpCode!K166,OpCode!I166,OpCode!H166,"")</f>
        <v>procedure TCPU_6502.op_LDY_dp;
var 
  MA: iSize16;
  b1: iSize8;
begin
  b1:= ReadMem(PC);
  PC:= (PC+1) and $FFFF;
  MA:= b1;
  Y:= (ReadMem(MA) and $FF);
  F[Flag_Z]:= (t = 0);
  F[Flag_N]:= (t and $80) = $80;
  inc(cycles, 3);
end;</v>
      </c>
      <c r="D166" s="19" t="str">
        <f>IF(OpCode!B166="Y","(*U*)","(* *)")&amp;
" with OpCodes[$"&amp;OpCode!A166&amp;"] do begin" &amp;
" code:= @"&amp;A166&amp;";"&amp;
" inst:= '"&amp;OpCode!C166&amp;"';"&amp;
" fmt:= '"&amp;OpCode!C166&amp;IF(OpCode!D166&lt;&gt;"","'+#9+'"&amp;convertFormat(OpCode!D166),"")&amp;"'"&amp;";"&amp;
" group:= Egroup."&amp;OpCode!E166&amp;";"&amp;
" mode:= Emode."&amp;OpCode!F166&amp;";"&amp;
" len:= "&amp;OpCode!G166&amp;";"&amp;
" cycle:= ["&amp;SUBSTITUTE(OpCode!H166,"|",",")&amp;"];"&amp;
" end;"</f>
        <v>(* *) with OpCodes[$A4] do begin code:= @op_LDY_dp; inst:= 'LDY'; fmt:= 'LDY'+#9+'$%.2x'; group:= Egroup.data; mode:= Emode.dp; len:= 2; cycle:= [3]; end;</v>
      </c>
    </row>
    <row r="167" spans="1:4" ht="78.75" x14ac:dyDescent="0.25">
      <c r="A167" s="18" t="str">
        <f>"op"&amp;"_"&amp;OpCode!C167&amp;ConvertFormat2(OpCode!D167)</f>
        <v>op_LDA_dp</v>
      </c>
      <c r="B167" s="19" t="str">
        <f t="shared" si="2"/>
        <v>procedure TCPU_6502.op_LDA_dp;</v>
      </c>
      <c r="C167" s="20" t="str">
        <f>$B167&amp;CHAR(10)&amp;ConvertCode(OpCode!K167,OpCode!I167,OpCode!H167,"")</f>
        <v>procedure TCPU_6502.op_LDA_dp;
var 
  MA: iSize16;
  b1: iSize8;
begin
  b1:= ReadMem(PC);
  PC:= (PC+1) and $FFFF;
  MA:= b1;
  A:= (ReadMem(MA) and $FF);
  F[Flag_Z]:= (t = 0);
  F[Flag_N]:= (t and $80) = $80;
  inc(cycles, 3);
end;</v>
      </c>
      <c r="D167" s="19" t="str">
        <f>IF(OpCode!B167="Y","(*U*)","(* *)")&amp;
" with OpCodes[$"&amp;OpCode!A167&amp;"] do begin" &amp;
" code:= @"&amp;A167&amp;";"&amp;
" inst:= '"&amp;OpCode!C167&amp;"';"&amp;
" fmt:= '"&amp;OpCode!C167&amp;IF(OpCode!D167&lt;&gt;"","'+#9+'"&amp;convertFormat(OpCode!D167),"")&amp;"'"&amp;";"&amp;
" group:= Egroup."&amp;OpCode!E167&amp;";"&amp;
" mode:= Emode."&amp;OpCode!F167&amp;";"&amp;
" len:= "&amp;OpCode!G167&amp;";"&amp;
" cycle:= ["&amp;SUBSTITUTE(OpCode!H167,"|",",")&amp;"];"&amp;
" end;"</f>
        <v>(* *) with OpCodes[$A5] do begin code:= @op_LDA_dp; inst:= 'LDA'; fmt:= 'LDA'+#9+'$%.2x'; group:= Egroup.data; mode:= Emode.dp; len:= 2; cycle:= [3]; end;</v>
      </c>
    </row>
    <row r="168" spans="1:4" ht="78.75" x14ac:dyDescent="0.25">
      <c r="A168" s="18" t="str">
        <f>"op"&amp;"_"&amp;OpCode!C168&amp;ConvertFormat2(OpCode!D168)</f>
        <v>op_LDX_dp</v>
      </c>
      <c r="B168" s="19" t="str">
        <f t="shared" si="2"/>
        <v>procedure TCPU_6502.op_LDX_dp;</v>
      </c>
      <c r="C168" s="20" t="str">
        <f>$B168&amp;CHAR(10)&amp;ConvertCode(OpCode!K168,OpCode!I168,OpCode!H168,"")</f>
        <v>procedure TCPU_6502.op_LDX_dp;
var 
  MA: iSize16;
  b1: iSize8;
begin
  b1:= ReadMem(PC);
  PC:= (PC+1) and $FFFF;
  MA:= b1;
  X:= (ReadMem(MA) and $FF);
  F[Flag_Z]:= (t = 0);
  F[Flag_N]:= (t and $80) = $80;
  inc(cycles, 3);
end;</v>
      </c>
      <c r="D168" s="19" t="str">
        <f>IF(OpCode!B168="Y","(*U*)","(* *)")&amp;
" with OpCodes[$"&amp;OpCode!A168&amp;"] do begin" &amp;
" code:= @"&amp;A168&amp;";"&amp;
" inst:= '"&amp;OpCode!C168&amp;"';"&amp;
" fmt:= '"&amp;OpCode!C168&amp;IF(OpCode!D168&lt;&gt;"","'+#9+'"&amp;convertFormat(OpCode!D168),"")&amp;"'"&amp;";"&amp;
" group:= Egroup."&amp;OpCode!E168&amp;";"&amp;
" mode:= Emode."&amp;OpCode!F168&amp;";"&amp;
" len:= "&amp;OpCode!G168&amp;";"&amp;
" cycle:= ["&amp;SUBSTITUTE(OpCode!H168,"|",",")&amp;"];"&amp;
" end;"</f>
        <v>(* *) with OpCodes[$A6] do begin code:= @op_LDX_dp; inst:= 'LDX'; fmt:= 'LDX'+#9+'$%.2x'; group:= Egroup.data; mode:= Emode.dp; len:= 2; cycle:= [3]; end;</v>
      </c>
    </row>
    <row r="169" spans="1:4" ht="78.75" x14ac:dyDescent="0.25">
      <c r="A169" s="18" t="str">
        <f>"op"&amp;"_"&amp;OpCode!C169&amp;ConvertFormat2(OpCode!D169)</f>
        <v>op_SMB2_dp</v>
      </c>
      <c r="B169" s="19" t="str">
        <f t="shared" si="2"/>
        <v>procedure TCPU_6502.op_SMB2_dp;</v>
      </c>
      <c r="C169" s="20" t="str">
        <f>$B169&amp;CHAR(10)&amp;ConvertCode(OpCode!K169,OpCode!I169,OpCode!H169,"")</f>
        <v>procedure TCPU_6502.op_SMB2_dp;
begin
  Set Memory Bit. Sets a specific bit of a byte held on zero page.;
  F[Flag_Z]:= (t = 0);
  inc(cycles, 5);
end;</v>
      </c>
      <c r="D169" s="19" t="str">
        <f>IF(OpCode!B169="Y","(*U*)","(* *)")&amp;
" with OpCodes[$"&amp;OpCode!A169&amp;"] do begin" &amp;
" code:= @"&amp;A169&amp;";"&amp;
" inst:= '"&amp;OpCode!C169&amp;"';"&amp;
" fmt:= '"&amp;OpCode!C169&amp;IF(OpCode!D169&lt;&gt;"","'+#9+'"&amp;convertFormat(OpCode!D169),"")&amp;"'"&amp;";"&amp;
" group:= Egroup."&amp;OpCode!E169&amp;";"&amp;
" mode:= Emode."&amp;OpCode!F169&amp;";"&amp;
" len:= "&amp;OpCode!G169&amp;";"&amp;
" cycle:= ["&amp;SUBSTITUTE(OpCode!H169,"|",",")&amp;"];"&amp;
" end;"</f>
        <v>(* *) with OpCodes[$A7] do begin code:= @op_SMB2_dp; inst:= 'SMB2'; fmt:= 'SMB2'+#9+'$%.2x'; group:= Egroup.logic; mode:= Emode.dp; len:= 2; cycle:= [5]; end;</v>
      </c>
    </row>
    <row r="170" spans="1:4" ht="78.75" x14ac:dyDescent="0.25">
      <c r="A170" s="18" t="str">
        <f>"op"&amp;"_"&amp;OpCode!C170&amp;ConvertFormat2(OpCode!D170)</f>
        <v>op_TAY</v>
      </c>
      <c r="B170" s="19" t="str">
        <f t="shared" si="2"/>
        <v>procedure TCPU_6502.op_TAY;</v>
      </c>
      <c r="C170" s="20" t="str">
        <f>$B170&amp;CHAR(10)&amp;ConvertCode(OpCode!K170,OpCode!I170,OpCode!H170,"")</f>
        <v>procedure TCPU_6502.op_TAY;
begin
  Y:= A;
  F[Flag_Z]:= (t = 0);
  F[Flag_N]:= (t and $80) = $80;
  inc(cycles, 2);
end;</v>
      </c>
      <c r="D170" s="19" t="str">
        <f>IF(OpCode!B170="Y","(*U*)","(* *)")&amp;
" with OpCodes[$"&amp;OpCode!A170&amp;"] do begin" &amp;
" code:= @"&amp;A170&amp;";"&amp;
" inst:= '"&amp;OpCode!C170&amp;"';"&amp;
" fmt:= '"&amp;OpCode!C170&amp;IF(OpCode!D170&lt;&gt;"","'+#9+'"&amp;convertFormat(OpCode!D170),"")&amp;"'"&amp;";"&amp;
" group:= Egroup."&amp;OpCode!E170&amp;";"&amp;
" mode:= Emode."&amp;OpCode!F170&amp;";"&amp;
" len:= "&amp;OpCode!G170&amp;";"&amp;
" cycle:= ["&amp;SUBSTITUTE(OpCode!H170,"|",",")&amp;"];"&amp;
" end;"</f>
        <v>(* *) with OpCodes[$A8] do begin code:= @op_TAY; inst:= 'TAY'; fmt:= 'TAY'; group:= Egroup.data; mode:= Emode.imp; len:= 1; cycle:= [2]; end;</v>
      </c>
    </row>
    <row r="171" spans="1:4" ht="78.75" x14ac:dyDescent="0.25">
      <c r="A171" s="18" t="str">
        <f>"op"&amp;"_"&amp;OpCode!C171&amp;ConvertFormat2(OpCode!D171)</f>
        <v>op_LDA_imm</v>
      </c>
      <c r="B171" s="19" t="str">
        <f t="shared" si="2"/>
        <v>procedure TCPU_6502.op_LDA_imm;</v>
      </c>
      <c r="C171" s="20" t="str">
        <f>$B171&amp;CHAR(10)&amp;ConvertCode(OpCode!K171,OpCode!I171,OpCode!H171,"")</f>
        <v>procedure TCPU_6502.op_LDA_imm;
var 
  b1: iSize8;
begin
  b1:= ReadMem(PC);
  PC:= (PC+1) and $FFFF;
  A:= b1;
  F[Flag_Z]:= (t = 0);
  F[Flag_N]:= (t and $80) = $80;
  inc(cycles, 2);
end;</v>
      </c>
      <c r="D171" s="19" t="str">
        <f>IF(OpCode!B171="Y","(*U*)","(* *)")&amp;
" with OpCodes[$"&amp;OpCode!A171&amp;"] do begin" &amp;
" code:= @"&amp;A171&amp;";"&amp;
" inst:= '"&amp;OpCode!C171&amp;"';"&amp;
" fmt:= '"&amp;OpCode!C171&amp;IF(OpCode!D171&lt;&gt;"","'+#9+'"&amp;convertFormat(OpCode!D171),"")&amp;"'"&amp;";"&amp;
" group:= Egroup."&amp;OpCode!E171&amp;";"&amp;
" mode:= Emode."&amp;OpCode!F171&amp;";"&amp;
" len:= "&amp;OpCode!G171&amp;";"&amp;
" cycle:= ["&amp;SUBSTITUTE(OpCode!H171,"|",",")&amp;"];"&amp;
" end;"</f>
        <v>(* *) with OpCodes[$A9] do begin code:= @op_LDA_imm; inst:= 'LDA'; fmt:= 'LDA'+#9+'#%.2x'; group:= Egroup.data; mode:= Emode.imm; len:= 2; cycle:= [2]; end;</v>
      </c>
    </row>
    <row r="172" spans="1:4" ht="78.75" x14ac:dyDescent="0.25">
      <c r="A172" s="18" t="str">
        <f>"op"&amp;"_"&amp;OpCode!C172&amp;ConvertFormat2(OpCode!D172)</f>
        <v>op_TAX</v>
      </c>
      <c r="B172" s="19" t="str">
        <f t="shared" si="2"/>
        <v>procedure TCPU_6502.op_TAX;</v>
      </c>
      <c r="C172" s="20" t="str">
        <f>$B172&amp;CHAR(10)&amp;ConvertCode(OpCode!K172,OpCode!I172,OpCode!H172,"")</f>
        <v>procedure TCPU_6502.op_TAX;
begin
  X:= A;
  F[Flag_Z]:= (t = 0);
  F[Flag_N]:= (t and $80) = $80;
  inc(cycles, 2);
end;</v>
      </c>
      <c r="D172" s="19" t="str">
        <f>IF(OpCode!B172="Y","(*U*)","(* *)")&amp;
" with OpCodes[$"&amp;OpCode!A172&amp;"] do begin" &amp;
" code:= @"&amp;A172&amp;";"&amp;
" inst:= '"&amp;OpCode!C172&amp;"';"&amp;
" fmt:= '"&amp;OpCode!C172&amp;IF(OpCode!D172&lt;&gt;"","'+#9+'"&amp;convertFormat(OpCode!D172),"")&amp;"'"&amp;";"&amp;
" group:= Egroup."&amp;OpCode!E172&amp;";"&amp;
" mode:= Emode."&amp;OpCode!F172&amp;";"&amp;
" len:= "&amp;OpCode!G172&amp;";"&amp;
" cycle:= ["&amp;SUBSTITUTE(OpCode!H172,"|",",")&amp;"];"&amp;
" end;"</f>
        <v>(* *) with OpCodes[$AA] do begin code:= @op_TAX; inst:= 'TAX'; fmt:= 'TAX'; group:= Egroup.data; mode:= Emode.imp; len:= 1; cycle:= [2]; end;</v>
      </c>
    </row>
    <row r="173" spans="1:4" ht="78.75" x14ac:dyDescent="0.25">
      <c r="A173" s="18" t="str">
        <f>"op"&amp;"_"&amp;OpCode!C173&amp;ConvertFormat2(OpCode!D173)</f>
        <v>op_NOP</v>
      </c>
      <c r="B173" s="19" t="str">
        <f t="shared" si="2"/>
        <v>procedure TCPU_6502.op_NOP;</v>
      </c>
      <c r="C173" s="20" t="str">
        <f>$B173&amp;CHAR(10)&amp;ConvertCode(OpCode!K173,OpCode!I173,OpCode!H173,"")</f>
        <v>procedure TCPU_6502.op_NOP;
begin
  No operation;
  inc(cycles, 2);
end;</v>
      </c>
      <c r="D173" s="19" t="str">
        <f>IF(OpCode!B173="Y","(*U*)","(* *)")&amp;
" with OpCodes[$"&amp;OpCode!A173&amp;"] do begin" &amp;
" code:= @"&amp;A173&amp;";"&amp;
" inst:= '"&amp;OpCode!C173&amp;"';"&amp;
" fmt:= '"&amp;OpCode!C173&amp;IF(OpCode!D173&lt;&gt;"","'+#9+'"&amp;convertFormat(OpCode!D173),"")&amp;"'"&amp;";"&amp;
" group:= Egroup."&amp;OpCode!E173&amp;";"&amp;
" mode:= Emode."&amp;OpCode!F173&amp;";"&amp;
" len:= "&amp;OpCode!G173&amp;";"&amp;
" cycle:= ["&amp;SUBSTITUTE(OpCode!H173,"|",",")&amp;"];"&amp;
" end;"</f>
        <v>(* *) with OpCodes[$AB] do begin code:= @op_NOP; inst:= 'NOP'; fmt:= 'NOP'; group:= Egroup.control; mode:= Emode.imp; len:= 1; cycle:= [2]; end;</v>
      </c>
    </row>
    <row r="174" spans="1:4" ht="78.75" x14ac:dyDescent="0.25">
      <c r="A174" s="18" t="str">
        <f>"op"&amp;"_"&amp;OpCode!C174&amp;ConvertFormat2(OpCode!D174)</f>
        <v>op_LDY_abs</v>
      </c>
      <c r="B174" s="19" t="str">
        <f t="shared" si="2"/>
        <v>procedure TCPU_6502.op_LDY_abs;</v>
      </c>
      <c r="C174" s="20" t="str">
        <f>$B174&amp;CHAR(10)&amp;ConvertCode(OpCode!K174,OpCode!I174,OpCode!H174,"")</f>
        <v>procedure TCPU_6502.op_LDY_abs;
var 
  MA: iSize16;
  b1: iSize8;
  b2: iSize8;
begin
  b1:= ReadMem(PC);
  PC:= (PC+1) and $FFFF;
  b2:= ReadMem(PC);
  PC:= (PC+1) and $FFFF;
  MA:= b1 + b2 shl 8;
  Y:= (ReadMem(MA) and $FF);
  F[Flag_Z]:= (t = 0);
  F[Flag_N]:= (t and $80) = $80;
  inc(cycles, 4);
end;</v>
      </c>
      <c r="D174" s="19" t="str">
        <f>IF(OpCode!B174="Y","(*U*)","(* *)")&amp;
" with OpCodes[$"&amp;OpCode!A174&amp;"] do begin" &amp;
" code:= @"&amp;A174&amp;";"&amp;
" inst:= '"&amp;OpCode!C174&amp;"';"&amp;
" fmt:= '"&amp;OpCode!C174&amp;IF(OpCode!D174&lt;&gt;"","'+#9+'"&amp;convertFormat(OpCode!D174),"")&amp;"'"&amp;";"&amp;
" group:= Egroup."&amp;OpCode!E174&amp;";"&amp;
" mode:= Emode."&amp;OpCode!F174&amp;";"&amp;
" len:= "&amp;OpCode!G174&amp;";"&amp;
" cycle:= ["&amp;SUBSTITUTE(OpCode!H174,"|",",")&amp;"];"&amp;
" end;"</f>
        <v>(* *) with OpCodes[$AC] do begin code:= @op_LDY_abs; inst:= 'LDY'; fmt:= 'LDY'+#9+'$%.4x'; group:= Egroup.data; mode:= Emode.abs; len:= 3; cycle:= [4]; end;</v>
      </c>
    </row>
    <row r="175" spans="1:4" ht="78.75" x14ac:dyDescent="0.25">
      <c r="A175" s="18" t="str">
        <f>"op"&amp;"_"&amp;OpCode!C175&amp;ConvertFormat2(OpCode!D175)</f>
        <v>op_LDA_abs</v>
      </c>
      <c r="B175" s="19" t="str">
        <f t="shared" si="2"/>
        <v>procedure TCPU_6502.op_LDA_abs;</v>
      </c>
      <c r="C175" s="20" t="str">
        <f>$B175&amp;CHAR(10)&amp;ConvertCode(OpCode!K175,OpCode!I175,OpCode!H175,"")</f>
        <v>procedure TCPU_6502.op_LDA_abs;
var 
  MA: iSize16;
  b1: iSize8;
  b2: iSize8;
begin
  b1:= ReadMem(PC);
  PC:= (PC+1) and $FFFF;
  b2:= ReadMem(PC);
  PC:= (PC+1) and $FFFF;
  MA:= b1 + b2 shl 8;
  A:= (ReadMem(MA) and $FF);
  F[Flag_Z]:= (t = 0);
  F[Flag_N]:= (t and $80) = $80;
  inc(cycles, 4);
end;</v>
      </c>
      <c r="D175" s="19" t="str">
        <f>IF(OpCode!B175="Y","(*U*)","(* *)")&amp;
" with OpCodes[$"&amp;OpCode!A175&amp;"] do begin" &amp;
" code:= @"&amp;A175&amp;";"&amp;
" inst:= '"&amp;OpCode!C175&amp;"';"&amp;
" fmt:= '"&amp;OpCode!C175&amp;IF(OpCode!D175&lt;&gt;"","'+#9+'"&amp;convertFormat(OpCode!D175),"")&amp;"'"&amp;";"&amp;
" group:= Egroup."&amp;OpCode!E175&amp;";"&amp;
" mode:= Emode."&amp;OpCode!F175&amp;";"&amp;
" len:= "&amp;OpCode!G175&amp;";"&amp;
" cycle:= ["&amp;SUBSTITUTE(OpCode!H175,"|",",")&amp;"];"&amp;
" end;"</f>
        <v>(* *) with OpCodes[$AD] do begin code:= @op_LDA_abs; inst:= 'LDA'; fmt:= 'LDA'+#9+'$%.4x'; group:= Egroup.data; mode:= Emode.abs; len:= 3; cycle:= [4]; end;</v>
      </c>
    </row>
    <row r="176" spans="1:4" ht="78.75" x14ac:dyDescent="0.25">
      <c r="A176" s="18" t="str">
        <f>"op"&amp;"_"&amp;OpCode!C176&amp;ConvertFormat2(OpCode!D176)</f>
        <v>op_LDX_abs</v>
      </c>
      <c r="B176" s="19" t="str">
        <f t="shared" si="2"/>
        <v>procedure TCPU_6502.op_LDX_abs;</v>
      </c>
      <c r="C176" s="20" t="str">
        <f>$B176&amp;CHAR(10)&amp;ConvertCode(OpCode!K176,OpCode!I176,OpCode!H176,"")</f>
        <v>procedure TCPU_6502.op_LDX_abs;
var 
  MA: iSize16;
  b1: iSize8;
  b2: iSize8;
begin
  b1:= ReadMem(PC);
  PC:= (PC+1) and $FFFF;
  b2:= ReadMem(PC);
  PC:= (PC+1) and $FFFF;
  MA:= b1 + b2 shl 8;
  X:= (ReadMem(MA) and $FF);
  F[Flag_Z]:= (t = 0);
  F[Flag_N]:= (t and $80) = $80;
  inc(cycles, 4);
end;</v>
      </c>
      <c r="D176" s="19" t="str">
        <f>IF(OpCode!B176="Y","(*U*)","(* *)")&amp;
" with OpCodes[$"&amp;OpCode!A176&amp;"] do begin" &amp;
" code:= @"&amp;A176&amp;";"&amp;
" inst:= '"&amp;OpCode!C176&amp;"';"&amp;
" fmt:= '"&amp;OpCode!C176&amp;IF(OpCode!D176&lt;&gt;"","'+#9+'"&amp;convertFormat(OpCode!D176),"")&amp;"'"&amp;";"&amp;
" group:= Egroup."&amp;OpCode!E176&amp;";"&amp;
" mode:= Emode."&amp;OpCode!F176&amp;";"&amp;
" len:= "&amp;OpCode!G176&amp;";"&amp;
" cycle:= ["&amp;SUBSTITUTE(OpCode!H176,"|",",")&amp;"];"&amp;
" end;"</f>
        <v>(* *) with OpCodes[$AE] do begin code:= @op_LDX_abs; inst:= 'LDX'; fmt:= 'LDX'+#9+'$%.4x'; group:= Egroup.data; mode:= Emode.abs; len:= 3; cycle:= [4]; end;</v>
      </c>
    </row>
    <row r="177" spans="1:4" ht="78.75" x14ac:dyDescent="0.25">
      <c r="A177" s="18" t="str">
        <f>"op"&amp;"_"&amp;OpCode!C177&amp;ConvertFormat2(OpCode!D177)</f>
        <v>op_BBS2_dp,rel8</v>
      </c>
      <c r="B177" s="19" t="str">
        <f t="shared" si="2"/>
        <v>procedure TCPU_6502.op_BBS2_dp,rel8;</v>
      </c>
      <c r="C177" s="20" t="str">
        <f>$B177&amp;CHAR(10)&amp;ConvertCode(OpCode!K177,OpCode!I177,OpCode!H177,"")</f>
        <v>procedure TCPU_6502.op_BBS2_dp,rel8;
begin
  Branch on Bit Set. Tests a specific bit of a byte held on zero page and causes a branch of the bit is set (1);
  inc(cycles, 2|3);
end;</v>
      </c>
      <c r="D177" s="19" t="str">
        <f>IF(OpCode!B177="Y","(*U*)","(* *)")&amp;
" with OpCodes[$"&amp;OpCode!A177&amp;"] do begin" &amp;
" code:= @"&amp;A177&amp;";"&amp;
" inst:= '"&amp;OpCode!C177&amp;"';"&amp;
" fmt:= '"&amp;OpCode!C177&amp;IF(OpCode!D177&lt;&gt;"","'+#9+'"&amp;convertFormat(OpCode!D177),"")&amp;"'"&amp;";"&amp;
" group:= Egroup."&amp;OpCode!E177&amp;";"&amp;
" mode:= Emode."&amp;OpCode!F177&amp;";"&amp;
" len:= "&amp;OpCode!G177&amp;";"&amp;
" cycle:= ["&amp;SUBSTITUTE(OpCode!H177,"|",",")&amp;"];"&amp;
" end;"</f>
        <v>(* *) with OpCodes[$AF] do begin code:= @op_BBS2_dp,rel8; inst:= 'BBS2'; fmt:= 'BBS2'+#9+'$%.2x,%d'; group:= Egroup.branch; mode:= Emode.dp_rel; len:= 3; cycle:= [2,3]; end;</v>
      </c>
    </row>
    <row r="178" spans="1:4" ht="78.75" x14ac:dyDescent="0.25">
      <c r="A178" s="18" t="str">
        <f>"op"&amp;"_"&amp;OpCode!C178&amp;ConvertFormat2(OpCode!D178)</f>
        <v>op_BCS_rel8</v>
      </c>
      <c r="B178" s="19" t="str">
        <f t="shared" si="2"/>
        <v>procedure TCPU_6502.op_BCS_rel8;</v>
      </c>
      <c r="C178" s="20" t="str">
        <f>$B178&amp;CHAR(10)&amp;ConvertCode(OpCode!K178,OpCode!I178,OpCode!H178,"")</f>
        <v>procedure TCPU_6502.op_BCS_rel8;
var 
  b1: iSize8;
begin
  b1:= ReadMem(PC);
  PC:= (PC+1) and $FFFF;
  if C  then PC:= ((PC + b1) and $FF);
  inc(cycles, 2|3);
end;</v>
      </c>
      <c r="D178" s="19" t="str">
        <f>IF(OpCode!B178="Y","(*U*)","(* *)")&amp;
" with OpCodes[$"&amp;OpCode!A178&amp;"] do begin" &amp;
" code:= @"&amp;A178&amp;";"&amp;
" inst:= '"&amp;OpCode!C178&amp;"';"&amp;
" fmt:= '"&amp;OpCode!C178&amp;IF(OpCode!D178&lt;&gt;"","'+#9+'"&amp;convertFormat(OpCode!D178),"")&amp;"'"&amp;";"&amp;
" group:= Egroup."&amp;OpCode!E178&amp;";"&amp;
" mode:= Emode."&amp;OpCode!F178&amp;";"&amp;
" len:= "&amp;OpCode!G178&amp;";"&amp;
" cycle:= ["&amp;SUBSTITUTE(OpCode!H178,"|",",")&amp;"];"&amp;
" end;"</f>
        <v>(* *) with OpCodes[$B0] do begin code:= @op_BCS_rel8; inst:= 'BCS'; fmt:= 'BCS'+#9+'%d'; group:= Egroup.branch; mode:= Emode.rel; len:= 2; cycle:= [2,3]; end;</v>
      </c>
    </row>
    <row r="179" spans="1:4" ht="78.75" x14ac:dyDescent="0.25">
      <c r="A179" s="18" t="str">
        <f>"op"&amp;"_"&amp;OpCode!C179&amp;ConvertFormat2(OpCode!D179)</f>
        <v>op_LDA_dp_ind_idY</v>
      </c>
      <c r="B179" s="19" t="str">
        <f t="shared" si="2"/>
        <v>procedure TCPU_6502.op_LDA_dp_ind_idY;</v>
      </c>
      <c r="C179" s="20" t="str">
        <f>$B179&amp;CHAR(10)&amp;ConvertCode(OpCode!K179,OpCode!I179,OpCode!H179,"")</f>
        <v>procedure TCPU_6502.op_LDA_dp_ind_idY;
var 
  MA: iSize16;
  b1: iSize8;
begin
  b1:= ReadMem(PC);
  PC:= (PC+1) and $FFFF;
  MA:= b1;
  MA:= ReadMem(MA)+256*ReadMem((MA+1) and $FFFF) + Y;
  A:= (ReadMem(MA) and $FF);
  F[Flag_Z]:= (t = 0);
  F[Flag_N]:= (t and $80) = $80;
  inc(cycles, 5);
end;</v>
      </c>
      <c r="D179" s="19" t="str">
        <f>IF(OpCode!B179="Y","(*U*)","(* *)")&amp;
" with OpCodes[$"&amp;OpCode!A179&amp;"] do begin" &amp;
" code:= @"&amp;A179&amp;";"&amp;
" inst:= '"&amp;OpCode!C179&amp;"';"&amp;
" fmt:= '"&amp;OpCode!C179&amp;IF(OpCode!D179&lt;&gt;"","'+#9+'"&amp;convertFormat(OpCode!D179),"")&amp;"'"&amp;";"&amp;
" group:= Egroup."&amp;OpCode!E179&amp;";"&amp;
" mode:= Emode."&amp;OpCode!F179&amp;";"&amp;
" len:= "&amp;OpCode!G179&amp;";"&amp;
" cycle:= ["&amp;SUBSTITUTE(OpCode!H179,"|",",")&amp;"];"&amp;
" end;"</f>
        <v>(* *) with OpCodes[$B1] do begin code:= @op_LDA_dp_ind_idY; inst:= 'LDA'; fmt:= 'LDA'+#9+'($%.2x),Y'; group:= Egroup.data; mode:= Emode.dp_ind_idx; len:= 2; cycle:= [5]; end;</v>
      </c>
    </row>
    <row r="180" spans="1:4" ht="78.75" x14ac:dyDescent="0.25">
      <c r="A180" s="18" t="str">
        <f>"op"&amp;"_"&amp;OpCode!C180&amp;ConvertFormat2(OpCode!D180)</f>
        <v>op_LDA_dp_ind</v>
      </c>
      <c r="B180" s="19" t="str">
        <f t="shared" si="2"/>
        <v>procedure TCPU_6502.op_LDA_dp_ind;</v>
      </c>
      <c r="C180" s="20" t="str">
        <f>$B180&amp;CHAR(10)&amp;ConvertCode(OpCode!K180,OpCode!I180,OpCode!H180,"")</f>
        <v>procedure TCPU_6502.op_LDA_dp_ind;
var 
  MA: iSize16;
  b1: iSize8;
begin
  b1:= ReadMem(PC);
  PC:= (PC+1) and $FFFF;
  MA:= b1;
  MA:= ReadMem(MA)+256*ReadMem((MA+1) and $FFFF);
  A:= (ReadMem(MA) and $FF);
  F[Flag_Z]:= (t = 0);
  F[Flag_N]:= (t and $80) = $80;
  inc(cycles, 5);
end;</v>
      </c>
      <c r="D180" s="19" t="str">
        <f>IF(OpCode!B180="Y","(*U*)","(* *)")&amp;
" with OpCodes[$"&amp;OpCode!A180&amp;"] do begin" &amp;
" code:= @"&amp;A180&amp;";"&amp;
" inst:= '"&amp;OpCode!C180&amp;"';"&amp;
" fmt:= '"&amp;OpCode!C180&amp;IF(OpCode!D180&lt;&gt;"","'+#9+'"&amp;convertFormat(OpCode!D180),"")&amp;"'"&amp;";"&amp;
" group:= Egroup."&amp;OpCode!E180&amp;";"&amp;
" mode:= Emode."&amp;OpCode!F180&amp;";"&amp;
" len:= "&amp;OpCode!G180&amp;";"&amp;
" cycle:= ["&amp;SUBSTITUTE(OpCode!H180,"|",",")&amp;"];"&amp;
" end;"</f>
        <v>(* *) with OpCodes[$B2] do begin code:= @op_LDA_dp_ind; inst:= 'LDA'; fmt:= 'LDA'+#9+'($%.2x)'; group:= Egroup.data; mode:= Emode.dp_ind; len:= 2; cycle:= [5]; end;</v>
      </c>
    </row>
    <row r="181" spans="1:4" ht="78.75" x14ac:dyDescent="0.25">
      <c r="A181" s="18" t="str">
        <f>"op"&amp;"_"&amp;OpCode!C181&amp;ConvertFormat2(OpCode!D181)</f>
        <v>op_NOP</v>
      </c>
      <c r="B181" s="19" t="str">
        <f t="shared" si="2"/>
        <v>procedure TCPU_6502.op_NOP;</v>
      </c>
      <c r="C181" s="20" t="str">
        <f>$B181&amp;CHAR(10)&amp;ConvertCode(OpCode!K181,OpCode!I181,OpCode!H181,"")</f>
        <v>procedure TCPU_6502.op_NOP;
begin
  No operation;
  inc(cycles, 2);
end;</v>
      </c>
      <c r="D181" s="19" t="str">
        <f>IF(OpCode!B181="Y","(*U*)","(* *)")&amp;
" with OpCodes[$"&amp;OpCode!A181&amp;"] do begin" &amp;
" code:= @"&amp;A181&amp;";"&amp;
" inst:= '"&amp;OpCode!C181&amp;"';"&amp;
" fmt:= '"&amp;OpCode!C181&amp;IF(OpCode!D181&lt;&gt;"","'+#9+'"&amp;convertFormat(OpCode!D181),"")&amp;"'"&amp;";"&amp;
" group:= Egroup."&amp;OpCode!E181&amp;";"&amp;
" mode:= Emode."&amp;OpCode!F181&amp;";"&amp;
" len:= "&amp;OpCode!G181&amp;";"&amp;
" cycle:= ["&amp;SUBSTITUTE(OpCode!H181,"|",",")&amp;"];"&amp;
" end;"</f>
        <v>(* *) with OpCodes[$B3] do begin code:= @op_NOP; inst:= 'NOP'; fmt:= 'NOP'; group:= Egroup.control; mode:= Emode.imp; len:= 1; cycle:= [2]; end;</v>
      </c>
    </row>
    <row r="182" spans="1:4" ht="78.75" x14ac:dyDescent="0.25">
      <c r="A182" s="18" t="str">
        <f>"op"&amp;"_"&amp;OpCode!C182&amp;ConvertFormat2(OpCode!D182)</f>
        <v>op_LDY_dp_idX</v>
      </c>
      <c r="B182" s="19" t="str">
        <f t="shared" si="2"/>
        <v>procedure TCPU_6502.op_LDY_dp_idX;</v>
      </c>
      <c r="C182" s="20" t="str">
        <f>$B182&amp;CHAR(10)&amp;ConvertCode(OpCode!K182,OpCode!I182,OpCode!H182,"")</f>
        <v>procedure TCPU_6502.op_LDY_dp_idX;
var 
  MA: iSize16;
  b1: iSize8;
begin
  b1:= ReadMem(PC);
  PC:= (PC+1) and $FFFF;
  MA:= ((b1 + X) and $FFFF);
  Y:= (ReadMem(MA) and $FF);
  F[Flag_Z]:= (t = 0);
  F[Flag_N]:= (t and $80) = $80;
  inc(cycles, 4);
end;</v>
      </c>
      <c r="D182" s="19" t="str">
        <f>IF(OpCode!B182="Y","(*U*)","(* *)")&amp;
" with OpCodes[$"&amp;OpCode!A182&amp;"] do begin" &amp;
" code:= @"&amp;A182&amp;";"&amp;
" inst:= '"&amp;OpCode!C182&amp;"';"&amp;
" fmt:= '"&amp;OpCode!C182&amp;IF(OpCode!D182&lt;&gt;"","'+#9+'"&amp;convertFormat(OpCode!D182),"")&amp;"'"&amp;";"&amp;
" group:= Egroup."&amp;OpCode!E182&amp;";"&amp;
" mode:= Emode."&amp;OpCode!F182&amp;";"&amp;
" len:= "&amp;OpCode!G182&amp;";"&amp;
" cycle:= ["&amp;SUBSTITUTE(OpCode!H182,"|",",")&amp;"];"&amp;
" end;"</f>
        <v>(* *) with OpCodes[$B4] do begin code:= @op_LDY_dp_idX; inst:= 'LDY'; fmt:= 'LDY'+#9+'$%.2x,X'; group:= Egroup.data; mode:= Emode.dp_idx; len:= 2; cycle:= [4]; end;</v>
      </c>
    </row>
    <row r="183" spans="1:4" ht="78.75" x14ac:dyDescent="0.25">
      <c r="A183" s="18" t="str">
        <f>"op"&amp;"_"&amp;OpCode!C183&amp;ConvertFormat2(OpCode!D183)</f>
        <v>op_LDA_dp_idX</v>
      </c>
      <c r="B183" s="19" t="str">
        <f t="shared" si="2"/>
        <v>procedure TCPU_6502.op_LDA_dp_idX;</v>
      </c>
      <c r="C183" s="20" t="str">
        <f>$B183&amp;CHAR(10)&amp;ConvertCode(OpCode!K183,OpCode!I183,OpCode!H183,"")</f>
        <v>procedure TCPU_6502.op_LDA_dp_idX;
var 
  MA: iSize16;
  b1: iSize8;
begin
  b1:= ReadMem(PC);
  PC:= (PC+1) and $FFFF;
  MA:= ((b1 + X) and $FFFF);
  A:= (ReadMem(MA) and $FF);
  F[Flag_Z]:= (t = 0);
  F[Flag_N]:= (t and $80) = $80;
  inc(cycles, 4);
end;</v>
      </c>
      <c r="D183" s="19" t="str">
        <f>IF(OpCode!B183="Y","(*U*)","(* *)")&amp;
" with OpCodes[$"&amp;OpCode!A183&amp;"] do begin" &amp;
" code:= @"&amp;A183&amp;";"&amp;
" inst:= '"&amp;OpCode!C183&amp;"';"&amp;
" fmt:= '"&amp;OpCode!C183&amp;IF(OpCode!D183&lt;&gt;"","'+#9+'"&amp;convertFormat(OpCode!D183),"")&amp;"'"&amp;";"&amp;
" group:= Egroup."&amp;OpCode!E183&amp;";"&amp;
" mode:= Emode."&amp;OpCode!F183&amp;";"&amp;
" len:= "&amp;OpCode!G183&amp;";"&amp;
" cycle:= ["&amp;SUBSTITUTE(OpCode!H183,"|",",")&amp;"];"&amp;
" end;"</f>
        <v>(* *) with OpCodes[$B5] do begin code:= @op_LDA_dp_idX; inst:= 'LDA'; fmt:= 'LDA'+#9+'$%.2x,X'; group:= Egroup.data; mode:= Emode.dp_idx; len:= 2; cycle:= [4]; end;</v>
      </c>
    </row>
    <row r="184" spans="1:4" ht="78.75" x14ac:dyDescent="0.25">
      <c r="A184" s="18" t="str">
        <f>"op"&amp;"_"&amp;OpCode!C184&amp;ConvertFormat2(OpCode!D184)</f>
        <v>op_LDX_dp_idY</v>
      </c>
      <c r="B184" s="19" t="str">
        <f t="shared" si="2"/>
        <v>procedure TCPU_6502.op_LDX_dp_idY;</v>
      </c>
      <c r="C184" s="20" t="str">
        <f>$B184&amp;CHAR(10)&amp;ConvertCode(OpCode!K184,OpCode!I184,OpCode!H184,"")</f>
        <v>procedure TCPU_6502.op_LDX_dp_idY;
var 
  MA: iSize16;
  b1: iSize8;
begin
  b1:= ReadMem(PC);
  PC:= (PC+1) and $FFFF;
  MA:= ((b1 + Y) and $FFFF);
  X:= (ReadMem(MA) and $FF);
  F[Flag_Z]:= (t = 0);
  F[Flag_N]:= (t and $80) = $80;
  inc(cycles, 4);
end;</v>
      </c>
      <c r="D184" s="19" t="str">
        <f>IF(OpCode!B184="Y","(*U*)","(* *)")&amp;
" with OpCodes[$"&amp;OpCode!A184&amp;"] do begin" &amp;
" code:= @"&amp;A184&amp;";"&amp;
" inst:= '"&amp;OpCode!C184&amp;"';"&amp;
" fmt:= '"&amp;OpCode!C184&amp;IF(OpCode!D184&lt;&gt;"","'+#9+'"&amp;convertFormat(OpCode!D184),"")&amp;"'"&amp;";"&amp;
" group:= Egroup."&amp;OpCode!E184&amp;";"&amp;
" mode:= Emode."&amp;OpCode!F184&amp;";"&amp;
" len:= "&amp;OpCode!G184&amp;";"&amp;
" cycle:= ["&amp;SUBSTITUTE(OpCode!H184,"|",",")&amp;"];"&amp;
" end;"</f>
        <v>(* *) with OpCodes[$B6] do begin code:= @op_LDX_dp_idY; inst:= 'LDX'; fmt:= 'LDX'+#9+'$%.2x,Y'; group:= Egroup.data; mode:= Emode.dp_idx; len:= 2; cycle:= [4]; end;</v>
      </c>
    </row>
    <row r="185" spans="1:4" ht="78.75" x14ac:dyDescent="0.25">
      <c r="A185" s="18" t="str">
        <f>"op"&amp;"_"&amp;OpCode!C185&amp;ConvertFormat2(OpCode!D185)</f>
        <v>op_SMB3_dp</v>
      </c>
      <c r="B185" s="19" t="str">
        <f t="shared" si="2"/>
        <v>procedure TCPU_6502.op_SMB3_dp;</v>
      </c>
      <c r="C185" s="20" t="str">
        <f>$B185&amp;CHAR(10)&amp;ConvertCode(OpCode!K185,OpCode!I185,OpCode!H185,"")</f>
        <v>procedure TCPU_6502.op_SMB3_dp;
begin
  Set Memory Bit. Sets a specific bit of a byte held on zero page.;
  F[Flag_Z]:= (t = 0);
  inc(cycles, 5);
end;</v>
      </c>
      <c r="D185" s="19" t="str">
        <f>IF(OpCode!B185="Y","(*U*)","(* *)")&amp;
" with OpCodes[$"&amp;OpCode!A185&amp;"] do begin" &amp;
" code:= @"&amp;A185&amp;";"&amp;
" inst:= '"&amp;OpCode!C185&amp;"';"&amp;
" fmt:= '"&amp;OpCode!C185&amp;IF(OpCode!D185&lt;&gt;"","'+#9+'"&amp;convertFormat(OpCode!D185),"")&amp;"'"&amp;";"&amp;
" group:= Egroup."&amp;OpCode!E185&amp;";"&amp;
" mode:= Emode."&amp;OpCode!F185&amp;";"&amp;
" len:= "&amp;OpCode!G185&amp;";"&amp;
" cycle:= ["&amp;SUBSTITUTE(OpCode!H185,"|",",")&amp;"];"&amp;
" end;"</f>
        <v>(* *) with OpCodes[$B7] do begin code:= @op_SMB3_dp; inst:= 'SMB3'; fmt:= 'SMB3'+#9+'$%.2x'; group:= Egroup.logic; mode:= Emode.dp; len:= 2; cycle:= [5]; end;</v>
      </c>
    </row>
    <row r="186" spans="1:4" ht="78.75" x14ac:dyDescent="0.25">
      <c r="A186" s="18" t="str">
        <f>"op"&amp;"_"&amp;OpCode!C186&amp;ConvertFormat2(OpCode!D186)</f>
        <v>op_CLV</v>
      </c>
      <c r="B186" s="19" t="str">
        <f t="shared" si="2"/>
        <v>procedure TCPU_6502.op_CLV;</v>
      </c>
      <c r="C186" s="20" t="str">
        <f>$B186&amp;CHAR(10)&amp;ConvertCode(OpCode!K186,OpCode!I186,OpCode!H186,"")</f>
        <v>procedure TCPU_6502.op_CLV;
begin
  v:= ((0) and $FF);
  F[Flag_Z]:= false;
  inc(cycles, 2);
end;</v>
      </c>
      <c r="D186" s="19" t="str">
        <f>IF(OpCode!B186="Y","(*U*)","(* *)")&amp;
" with OpCodes[$"&amp;OpCode!A186&amp;"] do begin" &amp;
" code:= @"&amp;A186&amp;";"&amp;
" inst:= '"&amp;OpCode!C186&amp;"';"&amp;
" fmt:= '"&amp;OpCode!C186&amp;IF(OpCode!D186&lt;&gt;"","'+#9+'"&amp;convertFormat(OpCode!D186),"")&amp;"'"&amp;";"&amp;
" group:= Egroup."&amp;OpCode!E186&amp;";"&amp;
" mode:= Emode."&amp;OpCode!F186&amp;";"&amp;
" len:= "&amp;OpCode!G186&amp;";"&amp;
" cycle:= ["&amp;SUBSTITUTE(OpCode!H186,"|",",")&amp;"];"&amp;
" end;"</f>
        <v>(* *) with OpCodes[$B8] do begin code:= @op_CLV; inst:= 'CLV'; fmt:= 'CLV'; group:= Egroup.control; mode:= Emode.imp; len:= 1; cycle:= [2]; end;</v>
      </c>
    </row>
    <row r="187" spans="1:4" ht="78.75" x14ac:dyDescent="0.25">
      <c r="A187" s="18" t="str">
        <f>"op"&amp;"_"&amp;OpCode!C187&amp;ConvertFormat2(OpCode!D187)</f>
        <v>op_LDA_abs_idY</v>
      </c>
      <c r="B187" s="19" t="str">
        <f t="shared" si="2"/>
        <v>procedure TCPU_6502.op_LDA_abs_idY;</v>
      </c>
      <c r="C187" s="20" t="str">
        <f>$B187&amp;CHAR(10)&amp;ConvertCode(OpCode!K187,OpCode!I187,OpCode!H187,"")</f>
        <v>procedure TCPU_6502.op_LDA_abs_idY;
var 
  MA: iSize16;
  b1: iSize8;
  b2: iSize8;
begin
  b1:= ReadMem(PC);
  PC:= (PC+1) and $FFFF;
  b2:= ReadMem(PC);
  PC:= (PC+1) and $FFFF;
  MA:= ((b1 + b2 shl 8 + Y) and $FFFF);
  A:= (ReadMem(MA) and $FF);
  F[Flag_Z]:= (t = 0);
  F[Flag_N]:= (t and $80) = $80;
  inc(cycles, 4);
end;</v>
      </c>
      <c r="D187" s="19" t="str">
        <f>IF(OpCode!B187="Y","(*U*)","(* *)")&amp;
" with OpCodes[$"&amp;OpCode!A187&amp;"] do begin" &amp;
" code:= @"&amp;A187&amp;";"&amp;
" inst:= '"&amp;OpCode!C187&amp;"';"&amp;
" fmt:= '"&amp;OpCode!C187&amp;IF(OpCode!D187&lt;&gt;"","'+#9+'"&amp;convertFormat(OpCode!D187),"")&amp;"'"&amp;";"&amp;
" group:= Egroup."&amp;OpCode!E187&amp;";"&amp;
" mode:= Emode."&amp;OpCode!F187&amp;";"&amp;
" len:= "&amp;OpCode!G187&amp;";"&amp;
" cycle:= ["&amp;SUBSTITUTE(OpCode!H187,"|",",")&amp;"];"&amp;
" end;"</f>
        <v>(* *) with OpCodes[$B9] do begin code:= @op_LDA_abs_idY; inst:= 'LDA'; fmt:= 'LDA'+#9+'$%.4x,Y'; group:= Egroup.data; mode:= Emode.abs_idx; len:= 3; cycle:= [4]; end;</v>
      </c>
    </row>
    <row r="188" spans="1:4" ht="78.75" x14ac:dyDescent="0.25">
      <c r="A188" s="18" t="str">
        <f>"op"&amp;"_"&amp;OpCode!C188&amp;ConvertFormat2(OpCode!D188)</f>
        <v>op_TSX</v>
      </c>
      <c r="B188" s="19" t="str">
        <f t="shared" si="2"/>
        <v>procedure TCPU_6502.op_TSX;</v>
      </c>
      <c r="C188" s="20" t="str">
        <f>$B188&amp;CHAR(10)&amp;ConvertCode(OpCode!K188,OpCode!I188,OpCode!H188,"")</f>
        <v>procedure TCPU_6502.op_TSX;
begin
  X:= ((S) and $FF);
  F[Flag_Z]:= (t = 0);
  F[Flag_N]:= (t and $80) = $80;
  inc(cycles, 2);
end;</v>
      </c>
      <c r="D188" s="19" t="str">
        <f>IF(OpCode!B188="Y","(*U*)","(* *)")&amp;
" with OpCodes[$"&amp;OpCode!A188&amp;"] do begin" &amp;
" code:= @"&amp;A188&amp;";"&amp;
" inst:= '"&amp;OpCode!C188&amp;"';"&amp;
" fmt:= '"&amp;OpCode!C188&amp;IF(OpCode!D188&lt;&gt;"","'+#9+'"&amp;convertFormat(OpCode!D188),"")&amp;"'"&amp;";"&amp;
" group:= Egroup."&amp;OpCode!E188&amp;";"&amp;
" mode:= Emode."&amp;OpCode!F188&amp;";"&amp;
" len:= "&amp;OpCode!G188&amp;";"&amp;
" cycle:= ["&amp;SUBSTITUTE(OpCode!H188,"|",",")&amp;"];"&amp;
" end;"</f>
        <v>(* *) with OpCodes[$BA] do begin code:= @op_TSX; inst:= 'TSX'; fmt:= 'TSX'; group:= Egroup.stack; mode:= Emode.imp; len:= 1; cycle:= [2]; end;</v>
      </c>
    </row>
    <row r="189" spans="1:4" ht="78.75" x14ac:dyDescent="0.25">
      <c r="A189" s="18" t="str">
        <f>"op"&amp;"_"&amp;OpCode!C189&amp;ConvertFormat2(OpCode!D189)</f>
        <v>op_NOP</v>
      </c>
      <c r="B189" s="19" t="str">
        <f t="shared" si="2"/>
        <v>procedure TCPU_6502.op_NOP;</v>
      </c>
      <c r="C189" s="20" t="str">
        <f>$B189&amp;CHAR(10)&amp;ConvertCode(OpCode!K189,OpCode!I189,OpCode!H189,"")</f>
        <v>procedure TCPU_6502.op_NOP;
begin
  No operation;
  inc(cycles, 2);
end;</v>
      </c>
      <c r="D189" s="19" t="str">
        <f>IF(OpCode!B189="Y","(*U*)","(* *)")&amp;
" with OpCodes[$"&amp;OpCode!A189&amp;"] do begin" &amp;
" code:= @"&amp;A189&amp;";"&amp;
" inst:= '"&amp;OpCode!C189&amp;"';"&amp;
" fmt:= '"&amp;OpCode!C189&amp;IF(OpCode!D189&lt;&gt;"","'+#9+'"&amp;convertFormat(OpCode!D189),"")&amp;"'"&amp;";"&amp;
" group:= Egroup."&amp;OpCode!E189&amp;";"&amp;
" mode:= Emode."&amp;OpCode!F189&amp;";"&amp;
" len:= "&amp;OpCode!G189&amp;";"&amp;
" cycle:= ["&amp;SUBSTITUTE(OpCode!H189,"|",",")&amp;"];"&amp;
" end;"</f>
        <v>(* *) with OpCodes[$BB] do begin code:= @op_NOP; inst:= 'NOP'; fmt:= 'NOP'; group:= Egroup.control; mode:= Emode.imp; len:= 1; cycle:= [2]; end;</v>
      </c>
    </row>
    <row r="190" spans="1:4" ht="78.75" x14ac:dyDescent="0.25">
      <c r="A190" s="18" t="str">
        <f>"op"&amp;"_"&amp;OpCode!C190&amp;ConvertFormat2(OpCode!D190)</f>
        <v>op_LDY_abs_idX</v>
      </c>
      <c r="B190" s="19" t="str">
        <f t="shared" si="2"/>
        <v>procedure TCPU_6502.op_LDY_abs_idX;</v>
      </c>
      <c r="C190" s="20" t="str">
        <f>$B190&amp;CHAR(10)&amp;ConvertCode(OpCode!K190,OpCode!I190,OpCode!H190,"")</f>
        <v>procedure TCPU_6502.op_LDY_abs_idX;
var 
  MA: iSize16;
  b1: iSize8;
  b2: iSize8;
begin
  b1:= ReadMem(PC);
  PC:= (PC+1) and $FFFF;
  b2:= ReadMem(PC);
  PC:= (PC+1) and $FFFF;
  MA:= ((b1 + b2 shl 8 + X) and $FFFF);
  Y:= (ReadMem(MA) and $FF);
  F[Flag_Z]:= (t = 0);
  F[Flag_N]:= (t and $80) = $80;
  inc(cycles, 4);
end;</v>
      </c>
      <c r="D190" s="19" t="str">
        <f>IF(OpCode!B190="Y","(*U*)","(* *)")&amp;
" with OpCodes[$"&amp;OpCode!A190&amp;"] do begin" &amp;
" code:= @"&amp;A190&amp;";"&amp;
" inst:= '"&amp;OpCode!C190&amp;"';"&amp;
" fmt:= '"&amp;OpCode!C190&amp;IF(OpCode!D190&lt;&gt;"","'+#9+'"&amp;convertFormat(OpCode!D190),"")&amp;"'"&amp;";"&amp;
" group:= Egroup."&amp;OpCode!E190&amp;";"&amp;
" mode:= Emode."&amp;OpCode!F190&amp;";"&amp;
" len:= "&amp;OpCode!G190&amp;";"&amp;
" cycle:= ["&amp;SUBSTITUTE(OpCode!H190,"|",",")&amp;"];"&amp;
" end;"</f>
        <v>(* *) with OpCodes[$BC] do begin code:= @op_LDY_abs_idX; inst:= 'LDY'; fmt:= 'LDY'+#9+'$%.4x,X'; group:= Egroup.data; mode:= Emode.abs_idx; len:= 3; cycle:= [4]; end;</v>
      </c>
    </row>
    <row r="191" spans="1:4" ht="78.75" x14ac:dyDescent="0.25">
      <c r="A191" s="18" t="str">
        <f>"op"&amp;"_"&amp;OpCode!C191&amp;ConvertFormat2(OpCode!D191)</f>
        <v>op_LDA_abs_idX</v>
      </c>
      <c r="B191" s="19" t="str">
        <f t="shared" si="2"/>
        <v>procedure TCPU_6502.op_LDA_abs_idX;</v>
      </c>
      <c r="C191" s="20" t="str">
        <f>$B191&amp;CHAR(10)&amp;ConvertCode(OpCode!K191,OpCode!I191,OpCode!H191,"")</f>
        <v>procedure TCPU_6502.op_LDA_abs_idX;
var 
  MA: iSize16;
  b1: iSize8;
  b2: iSize8;
begin
  b1:= ReadMem(PC);
  PC:= (PC+1) and $FFFF;
  b2:= ReadMem(PC);
  PC:= (PC+1) and $FFFF;
  MA:= ((b1 + b2 shl 8 + X) and $FFFF);
  A:= (ReadMem(MA) and $FF);
  F[Flag_Z]:= (t = 0);
  F[Flag_N]:= (t and $80) = $80;
  inc(cycles, 4);
end;</v>
      </c>
      <c r="D191" s="19" t="str">
        <f>IF(OpCode!B191="Y","(*U*)","(* *)")&amp;
" with OpCodes[$"&amp;OpCode!A191&amp;"] do begin" &amp;
" code:= @"&amp;A191&amp;";"&amp;
" inst:= '"&amp;OpCode!C191&amp;"';"&amp;
" fmt:= '"&amp;OpCode!C191&amp;IF(OpCode!D191&lt;&gt;"","'+#9+'"&amp;convertFormat(OpCode!D191),"")&amp;"'"&amp;";"&amp;
" group:= Egroup."&amp;OpCode!E191&amp;";"&amp;
" mode:= Emode."&amp;OpCode!F191&amp;";"&amp;
" len:= "&amp;OpCode!G191&amp;";"&amp;
" cycle:= ["&amp;SUBSTITUTE(OpCode!H191,"|",",")&amp;"];"&amp;
" end;"</f>
        <v>(* *) with OpCodes[$BD] do begin code:= @op_LDA_abs_idX; inst:= 'LDA'; fmt:= 'LDA'+#9+'$%.4x,X'; group:= Egroup.data; mode:= Emode.abs_idx; len:= 3; cycle:= [4]; end;</v>
      </c>
    </row>
    <row r="192" spans="1:4" ht="78.75" x14ac:dyDescent="0.25">
      <c r="A192" s="18" t="str">
        <f>"op"&amp;"_"&amp;OpCode!C192&amp;ConvertFormat2(OpCode!D192)</f>
        <v>op_LDX_abs_idY</v>
      </c>
      <c r="B192" s="19" t="str">
        <f t="shared" si="2"/>
        <v>procedure TCPU_6502.op_LDX_abs_idY;</v>
      </c>
      <c r="C192" s="20" t="str">
        <f>$B192&amp;CHAR(10)&amp;ConvertCode(OpCode!K192,OpCode!I192,OpCode!H192,"")</f>
        <v>procedure TCPU_6502.op_LDX_abs_idY;
var 
  MA: iSize16;
  b1: iSize8;
  b2: iSize8;
begin
  b1:= ReadMem(PC);
  PC:= (PC+1) and $FFFF;
  b2:= ReadMem(PC);
  PC:= (PC+1) and $FFFF;
  MA:= ((b1 + b2 shl 8 + Y) and $FFFF);
  X:= (ReadMem(MA) and $FF);
  F[Flag_Z]:= (t = 0);
  F[Flag_N]:= (t and $80) = $80;
  inc(cycles, 4);
end;</v>
      </c>
      <c r="D192" s="19" t="str">
        <f>IF(OpCode!B192="Y","(*U*)","(* *)")&amp;
" with OpCodes[$"&amp;OpCode!A192&amp;"] do begin" &amp;
" code:= @"&amp;A192&amp;";"&amp;
" inst:= '"&amp;OpCode!C192&amp;"';"&amp;
" fmt:= '"&amp;OpCode!C192&amp;IF(OpCode!D192&lt;&gt;"","'+#9+'"&amp;convertFormat(OpCode!D192),"")&amp;"'"&amp;";"&amp;
" group:= Egroup."&amp;OpCode!E192&amp;";"&amp;
" mode:= Emode."&amp;OpCode!F192&amp;";"&amp;
" len:= "&amp;OpCode!G192&amp;";"&amp;
" cycle:= ["&amp;SUBSTITUTE(OpCode!H192,"|",",")&amp;"];"&amp;
" end;"</f>
        <v>(* *) with OpCodes[$BE] do begin code:= @op_LDX_abs_idY; inst:= 'LDX'; fmt:= 'LDX'+#9+'$%.4x,Y'; group:= Egroup.data; mode:= Emode.abs_idx; len:= 3; cycle:= [4]; end;</v>
      </c>
    </row>
    <row r="193" spans="1:4" ht="78.75" x14ac:dyDescent="0.25">
      <c r="A193" s="18" t="str">
        <f>"op"&amp;"_"&amp;OpCode!C193&amp;ConvertFormat2(OpCode!D193)</f>
        <v>op_BBS3_dp,rel8</v>
      </c>
      <c r="B193" s="19" t="str">
        <f t="shared" si="2"/>
        <v>procedure TCPU_6502.op_BBS3_dp,rel8;</v>
      </c>
      <c r="C193" s="20" t="str">
        <f>$B193&amp;CHAR(10)&amp;ConvertCode(OpCode!K193,OpCode!I193,OpCode!H193,"")</f>
        <v>procedure TCPU_6502.op_BBS3_dp,rel8;
begin
  Branch on Bit Set. Tests a specific bit of a byte held on zero page and causes a branch of the bit is set (1);
  inc(cycles, 2|3);
end;</v>
      </c>
      <c r="D193" s="19" t="str">
        <f>IF(OpCode!B193="Y","(*U*)","(* *)")&amp;
" with OpCodes[$"&amp;OpCode!A193&amp;"] do begin" &amp;
" code:= @"&amp;A193&amp;";"&amp;
" inst:= '"&amp;OpCode!C193&amp;"';"&amp;
" fmt:= '"&amp;OpCode!C193&amp;IF(OpCode!D193&lt;&gt;"","'+#9+'"&amp;convertFormat(OpCode!D193),"")&amp;"'"&amp;";"&amp;
" group:= Egroup."&amp;OpCode!E193&amp;";"&amp;
" mode:= Emode."&amp;OpCode!F193&amp;";"&amp;
" len:= "&amp;OpCode!G193&amp;";"&amp;
" cycle:= ["&amp;SUBSTITUTE(OpCode!H193,"|",",")&amp;"];"&amp;
" end;"</f>
        <v>(* *) with OpCodes[$BF] do begin code:= @op_BBS3_dp,rel8; inst:= 'BBS3'; fmt:= 'BBS3'+#9+'$%.2x,%d'; group:= Egroup.branch; mode:= Emode.dp_rel; len:= 3; cycle:= [2,3]; end;</v>
      </c>
    </row>
    <row r="194" spans="1:4" ht="78.75" x14ac:dyDescent="0.25">
      <c r="A194" s="18" t="str">
        <f>"op"&amp;"_"&amp;OpCode!C194&amp;ConvertFormat2(OpCode!D194)</f>
        <v>op_CPY_imm</v>
      </c>
      <c r="B194" s="19" t="str">
        <f t="shared" si="2"/>
        <v>procedure TCPU_6502.op_CPY_imm;</v>
      </c>
      <c r="C194" s="20" t="str">
        <f>$B194&amp;CHAR(10)&amp;ConvertCode(OpCode!K194,OpCode!I194,OpCode!H194,"")</f>
        <v>procedure TCPU_6502.op_CPY_imm;
var 
  t: iSize8;
  b1: iSize8;
begin
  b1:= ReadMem(PC);
  PC:= (PC+1) and $FFFF;
  t:= Y - b1;
  F[Flag_Z]:= (t = 0);
  F[Flag_N]:= (t and $80) = $80;
  F[Flag_C]:= (t and $100) = $100;  
  inc(cycles, 2);
end;</v>
      </c>
      <c r="D194" s="19" t="str">
        <f>IF(OpCode!B194="Y","(*U*)","(* *)")&amp;
" with OpCodes[$"&amp;OpCode!A194&amp;"] do begin" &amp;
" code:= @"&amp;A194&amp;";"&amp;
" inst:= '"&amp;OpCode!C194&amp;"';"&amp;
" fmt:= '"&amp;OpCode!C194&amp;IF(OpCode!D194&lt;&gt;"","'+#9+'"&amp;convertFormat(OpCode!D194),"")&amp;"'"&amp;";"&amp;
" group:= Egroup."&amp;OpCode!E194&amp;";"&amp;
" mode:= Emode."&amp;OpCode!F194&amp;";"&amp;
" len:= "&amp;OpCode!G194&amp;";"&amp;
" cycle:= ["&amp;SUBSTITUTE(OpCode!H194,"|",",")&amp;"];"&amp;
" end;"</f>
        <v>(* *) with OpCodes[$C0] do begin code:= @op_CPY_imm; inst:= 'CPY'; fmt:= 'CPY'+#9+'#%.2x'; group:= Egroup.arith; mode:= Emode.imm; len:= 2; cycle:= [2]; end;</v>
      </c>
    </row>
    <row r="195" spans="1:4" ht="78.75" x14ac:dyDescent="0.25">
      <c r="A195" s="18" t="str">
        <f>"op"&amp;"_"&amp;OpCode!C195&amp;ConvertFormat2(OpCode!D195)</f>
        <v>op_CMP_dp_idX_ind</v>
      </c>
      <c r="B195" s="19" t="str">
        <f t="shared" ref="B195:B257" si="3">"procedure TCPU_6502."&amp;$A195&amp;";"</f>
        <v>procedure TCPU_6502.op_CMP_dp_idX_ind;</v>
      </c>
      <c r="C195" s="20" t="str">
        <f>$B195&amp;CHAR(10)&amp;ConvertCode(OpCode!K195,OpCode!I195,OpCode!H195,"")</f>
        <v>procedure TCPU_6502.op_CMP_dp_idX_ind;
var 
  t: iSize8;
  MA: iSize16;
  MV: iSize8;
  b1: iSize8;
begin
  b1:= ReadMem(PC);
  PC:= (PC+1) and $FFFF;
  MA:= ((b1 + X) and $FFFF);
  MA:= ReadMem(MA)+256*ReadMem((MA+1) and $FFFF);
  MV:= ReadMem(MA);
  t:= A - MV;
  F[Flag_Z]:= (t = 0);
  F[Flag_N]:= (t and $80) = $80;
  F[Flag_C]:= (t and $100) = $100;  
  inc(cycles, 6);
end;</v>
      </c>
      <c r="D195" s="19" t="str">
        <f>IF(OpCode!B195="Y","(*U*)","(* *)")&amp;
" with OpCodes[$"&amp;OpCode!A195&amp;"] do begin" &amp;
" code:= @"&amp;A195&amp;";"&amp;
" inst:= '"&amp;OpCode!C195&amp;"';"&amp;
" fmt:= '"&amp;OpCode!C195&amp;IF(OpCode!D195&lt;&gt;"","'+#9+'"&amp;convertFormat(OpCode!D195),"")&amp;"'"&amp;";"&amp;
" group:= Egroup."&amp;OpCode!E195&amp;";"&amp;
" mode:= Emode."&amp;OpCode!F195&amp;";"&amp;
" len:= "&amp;OpCode!G195&amp;";"&amp;
" cycle:= ["&amp;SUBSTITUTE(OpCode!H195,"|",",")&amp;"];"&amp;
" end;"</f>
        <v>(* *) with OpCodes[$C1] do begin code:= @op_CMP_dp_idX_ind; inst:= 'CMP'; fmt:= 'CMP'+#9+'($%.2x,X)'; group:= Egroup.arith; mode:= Emode.dp_idx_ind; len:= 2; cycle:= [6]; end;</v>
      </c>
    </row>
    <row r="196" spans="1:4" ht="78.75" x14ac:dyDescent="0.25">
      <c r="A196" s="18" t="str">
        <f>"op"&amp;"_"&amp;OpCode!C196&amp;ConvertFormat2(OpCode!D196)</f>
        <v>op_NOP</v>
      </c>
      <c r="B196" s="19" t="str">
        <f t="shared" si="3"/>
        <v>procedure TCPU_6502.op_NOP;</v>
      </c>
      <c r="C196" s="20" t="str">
        <f>$B196&amp;CHAR(10)&amp;ConvertCode(OpCode!K196,OpCode!I196,OpCode!H196,"")</f>
        <v>procedure TCPU_6502.op_NOP;
begin
  No operation;
  inc(cycles, 2);
end;</v>
      </c>
      <c r="D196" s="19" t="str">
        <f>IF(OpCode!B196="Y","(*U*)","(* *)")&amp;
" with OpCodes[$"&amp;OpCode!A196&amp;"] do begin" &amp;
" code:= @"&amp;A196&amp;";"&amp;
" inst:= '"&amp;OpCode!C196&amp;"';"&amp;
" fmt:= '"&amp;OpCode!C196&amp;IF(OpCode!D196&lt;&gt;"","'+#9+'"&amp;convertFormat(OpCode!D196),"")&amp;"'"&amp;";"&amp;
" group:= Egroup."&amp;OpCode!E196&amp;";"&amp;
" mode:= Emode."&amp;OpCode!F196&amp;";"&amp;
" len:= "&amp;OpCode!G196&amp;";"&amp;
" cycle:= ["&amp;SUBSTITUTE(OpCode!H196,"|",",")&amp;"];"&amp;
" end;"</f>
        <v>(* *) with OpCodes[$C2] do begin code:= @op_NOP; inst:= 'NOP'; fmt:= 'NOP'; group:= Egroup.control; mode:= Emode.imp; len:= 1; cycle:= [2]; end;</v>
      </c>
    </row>
    <row r="197" spans="1:4" ht="78.75" x14ac:dyDescent="0.25">
      <c r="A197" s="18" t="str">
        <f>"op"&amp;"_"&amp;OpCode!C197&amp;ConvertFormat2(OpCode!D197)</f>
        <v>op_NOP</v>
      </c>
      <c r="B197" s="19" t="str">
        <f t="shared" si="3"/>
        <v>procedure TCPU_6502.op_NOP;</v>
      </c>
      <c r="C197" s="20" t="str">
        <f>$B197&amp;CHAR(10)&amp;ConvertCode(OpCode!K197,OpCode!I197,OpCode!H197,"")</f>
        <v>procedure TCPU_6502.op_NOP;
begin
  No operation;
  inc(cycles, 2);
end;</v>
      </c>
      <c r="D197" s="19" t="str">
        <f>IF(OpCode!B197="Y","(*U*)","(* *)")&amp;
" with OpCodes[$"&amp;OpCode!A197&amp;"] do begin" &amp;
" code:= @"&amp;A197&amp;";"&amp;
" inst:= '"&amp;OpCode!C197&amp;"';"&amp;
" fmt:= '"&amp;OpCode!C197&amp;IF(OpCode!D197&lt;&gt;"","'+#9+'"&amp;convertFormat(OpCode!D197),"")&amp;"'"&amp;";"&amp;
" group:= Egroup."&amp;OpCode!E197&amp;";"&amp;
" mode:= Emode."&amp;OpCode!F197&amp;";"&amp;
" len:= "&amp;OpCode!G197&amp;";"&amp;
" cycle:= ["&amp;SUBSTITUTE(OpCode!H197,"|",",")&amp;"];"&amp;
" end;"</f>
        <v>(* *) with OpCodes[$C3] do begin code:= @op_NOP; inst:= 'NOP'; fmt:= 'NOP'; group:= Egroup.control; mode:= Emode.imp; len:= 1; cycle:= [2]; end;</v>
      </c>
    </row>
    <row r="198" spans="1:4" ht="78.75" x14ac:dyDescent="0.25">
      <c r="A198" s="18" t="str">
        <f>"op"&amp;"_"&amp;OpCode!C198&amp;ConvertFormat2(OpCode!D198)</f>
        <v>op_CPY_dp</v>
      </c>
      <c r="B198" s="19" t="str">
        <f t="shared" si="3"/>
        <v>procedure TCPU_6502.op_CPY_dp;</v>
      </c>
      <c r="C198" s="20" t="str">
        <f>$B198&amp;CHAR(10)&amp;ConvertCode(OpCode!K198,OpCode!I198,OpCode!H198,"")</f>
        <v>procedure TCPU_6502.op_CPY_dp;
var 
  t: iSize8;
  MA: iSize16;
  MV: iSize8;
  b1: iSize8;
begin
  b1:= ReadMem(PC);
  PC:= (PC+1) and $FFFF;
  MA:= b1;
  MV:= ReadMem(MA);
  t:= Y - MV;
  F[Flag_Z]:= (t = 0);
  F[Flag_N]:= (t and $80) = $80;
  F[Flag_C]:= (t and $100) = $100;  
  inc(cycles, 2);
end;</v>
      </c>
      <c r="D198" s="19" t="str">
        <f>IF(OpCode!B198="Y","(*U*)","(* *)")&amp;
" with OpCodes[$"&amp;OpCode!A198&amp;"] do begin" &amp;
" code:= @"&amp;A198&amp;";"&amp;
" inst:= '"&amp;OpCode!C198&amp;"';"&amp;
" fmt:= '"&amp;OpCode!C198&amp;IF(OpCode!D198&lt;&gt;"","'+#9+'"&amp;convertFormat(OpCode!D198),"")&amp;"'"&amp;";"&amp;
" group:= Egroup."&amp;OpCode!E198&amp;";"&amp;
" mode:= Emode."&amp;OpCode!F198&amp;";"&amp;
" len:= "&amp;OpCode!G198&amp;";"&amp;
" cycle:= ["&amp;SUBSTITUTE(OpCode!H198,"|",",")&amp;"];"&amp;
" end;"</f>
        <v>(* *) with OpCodes[$C4] do begin code:= @op_CPY_dp; inst:= 'CPY'; fmt:= 'CPY'+#9+'$%.2x'; group:= Egroup.arith; mode:= Emode.dp; len:= 3; cycle:= [2]; end;</v>
      </c>
    </row>
    <row r="199" spans="1:4" ht="78.75" x14ac:dyDescent="0.25">
      <c r="A199" s="18" t="str">
        <f>"op"&amp;"_"&amp;OpCode!C199&amp;ConvertFormat2(OpCode!D199)</f>
        <v>op_CMP_dp</v>
      </c>
      <c r="B199" s="19" t="str">
        <f t="shared" si="3"/>
        <v>procedure TCPU_6502.op_CMP_dp;</v>
      </c>
      <c r="C199" s="20" t="str">
        <f>$B199&amp;CHAR(10)&amp;ConvertCode(OpCode!K199,OpCode!I199,OpCode!H199,"")</f>
        <v>procedure TCPU_6502.op_CMP_dp;
var 
  t: iSize8;
  MA: iSize16;
  MV: iSize8;
  b1: iSize8;
begin
  b1:= ReadMem(PC);
  PC:= (PC+1) and $FFFF;
  MA:= b1;
  MV:= ReadMem(MA);
  t:= A - MV;
  F[Flag_Z]:= (t = 0);
  F[Flag_N]:= (t and $80) = $80;
  F[Flag_C]:= (t and $100) = $100;  
  inc(cycles, 3);
end;</v>
      </c>
      <c r="D199" s="19" t="str">
        <f>IF(OpCode!B199="Y","(*U*)","(* *)")&amp;
" with OpCodes[$"&amp;OpCode!A199&amp;"] do begin" &amp;
" code:= @"&amp;A199&amp;";"&amp;
" inst:= '"&amp;OpCode!C199&amp;"';"&amp;
" fmt:= '"&amp;OpCode!C199&amp;IF(OpCode!D199&lt;&gt;"","'+#9+'"&amp;convertFormat(OpCode!D199),"")&amp;"'"&amp;";"&amp;
" group:= Egroup."&amp;OpCode!E199&amp;";"&amp;
" mode:= Emode."&amp;OpCode!F199&amp;";"&amp;
" len:= "&amp;OpCode!G199&amp;";"&amp;
" cycle:= ["&amp;SUBSTITUTE(OpCode!H199,"|",",")&amp;"];"&amp;
" end;"</f>
        <v>(* *) with OpCodes[$C5] do begin code:= @op_CMP_dp; inst:= 'CMP'; fmt:= 'CMP'+#9+'$%.2x'; group:= Egroup.arith; mode:= Emode.dp; len:= 2; cycle:= [3]; end;</v>
      </c>
    </row>
    <row r="200" spans="1:4" ht="78.75" x14ac:dyDescent="0.25">
      <c r="A200" s="18" t="str">
        <f>"op"&amp;"_"&amp;OpCode!C200&amp;ConvertFormat2(OpCode!D200)</f>
        <v>op_DEC_dp</v>
      </c>
      <c r="B200" s="19" t="str">
        <f t="shared" si="3"/>
        <v>procedure TCPU_6502.op_DEC_dp;</v>
      </c>
      <c r="C200" s="20" t="str">
        <f>$B200&amp;CHAR(10)&amp;ConvertCode(OpCode!K200,OpCode!I200,OpCode!H200,"")</f>
        <v>procedure TCPU_6502.op_DEC_dp;
var 
  t: iSize8;
  MA: iSize16;
  MV: iSize8;
  b1: iSize8;
begin
  b1:= ReadMem(PC);
  PC:= (PC+1) and $FFFF;
  MA:= b1;
  MV:= ReadMem(MA);
  t:= MV - 1;
  WriteMem(MA, t and $FF);
  F[Flag_Z]:= (t = 0);
  F[Flag_N]:= (t and $80) = $80;
  inc(cycles, 5);
end;</v>
      </c>
      <c r="D200" s="19" t="str">
        <f>IF(OpCode!B200="Y","(*U*)","(* *)")&amp;
" with OpCodes[$"&amp;OpCode!A200&amp;"] do begin" &amp;
" code:= @"&amp;A200&amp;";"&amp;
" inst:= '"&amp;OpCode!C200&amp;"';"&amp;
" fmt:= '"&amp;OpCode!C200&amp;IF(OpCode!D200&lt;&gt;"","'+#9+'"&amp;convertFormat(OpCode!D200),"")&amp;"'"&amp;";"&amp;
" group:= Egroup."&amp;OpCode!E200&amp;";"&amp;
" mode:= Emode."&amp;OpCode!F200&amp;";"&amp;
" len:= "&amp;OpCode!G200&amp;";"&amp;
" cycle:= ["&amp;SUBSTITUTE(OpCode!H200,"|",",")&amp;"];"&amp;
" end;"</f>
        <v>(* *) with OpCodes[$C6] do begin code:= @op_DEC_dp; inst:= 'DEC'; fmt:= 'DEC'+#9+'$%.2x'; group:= Egroup.arith; mode:= Emode.dp; len:= 2; cycle:= [5]; end;</v>
      </c>
    </row>
    <row r="201" spans="1:4" ht="78.75" x14ac:dyDescent="0.25">
      <c r="A201" s="18" t="str">
        <f>"op"&amp;"_"&amp;OpCode!C201&amp;ConvertFormat2(OpCode!D201)</f>
        <v>op_SMB4_dp</v>
      </c>
      <c r="B201" s="19" t="str">
        <f t="shared" si="3"/>
        <v>procedure TCPU_6502.op_SMB4_dp;</v>
      </c>
      <c r="C201" s="20" t="str">
        <f>$B201&amp;CHAR(10)&amp;ConvertCode(OpCode!K201,OpCode!I201,OpCode!H201,"")</f>
        <v>procedure TCPU_6502.op_SMB4_dp;
begin
  Set Memory Bit. Sets a specific bit of a byte held on zero page.;
  F[Flag_Z]:= (t = 0);
  inc(cycles, 5);
end;</v>
      </c>
      <c r="D201" s="19" t="str">
        <f>IF(OpCode!B201="Y","(*U*)","(* *)")&amp;
" with OpCodes[$"&amp;OpCode!A201&amp;"] do begin" &amp;
" code:= @"&amp;A201&amp;";"&amp;
" inst:= '"&amp;OpCode!C201&amp;"';"&amp;
" fmt:= '"&amp;OpCode!C201&amp;IF(OpCode!D201&lt;&gt;"","'+#9+'"&amp;convertFormat(OpCode!D201),"")&amp;"'"&amp;";"&amp;
" group:= Egroup."&amp;OpCode!E201&amp;";"&amp;
" mode:= Emode."&amp;OpCode!F201&amp;";"&amp;
" len:= "&amp;OpCode!G201&amp;";"&amp;
" cycle:= ["&amp;SUBSTITUTE(OpCode!H201,"|",",")&amp;"];"&amp;
" end;"</f>
        <v>(* *) with OpCodes[$C7] do begin code:= @op_SMB4_dp; inst:= 'SMB4'; fmt:= 'SMB4'+#9+'$%.2x'; group:= Egroup.logic; mode:= Emode.dp; len:= 2; cycle:= [5]; end;</v>
      </c>
    </row>
    <row r="202" spans="1:4" ht="78.75" x14ac:dyDescent="0.25">
      <c r="A202" s="18" t="str">
        <f>"op"&amp;"_"&amp;OpCode!C202&amp;ConvertFormat2(OpCode!D202)</f>
        <v>op_INY</v>
      </c>
      <c r="B202" s="19" t="str">
        <f t="shared" si="3"/>
        <v>procedure TCPU_6502.op_INY;</v>
      </c>
      <c r="C202" s="20" t="str">
        <f>$B202&amp;CHAR(10)&amp;ConvertCode(OpCode!K202,OpCode!I202,OpCode!H202,"")</f>
        <v>procedure TCPU_6502.op_INY;
var 
  t: iSize8;
begin
  t:= Y + 1;
  Y:= (t and $FF);
  F[Flag_Z]:= (t = 0);
  F[Flag_N]:= (t and $80) = $80;
  inc(cycles, 2);
end;</v>
      </c>
      <c r="D202" s="19" t="str">
        <f>IF(OpCode!B202="Y","(*U*)","(* *)")&amp;
" with OpCodes[$"&amp;OpCode!A202&amp;"] do begin" &amp;
" code:= @"&amp;A202&amp;";"&amp;
" inst:= '"&amp;OpCode!C202&amp;"';"&amp;
" fmt:= '"&amp;OpCode!C202&amp;IF(OpCode!D202&lt;&gt;"","'+#9+'"&amp;convertFormat(OpCode!D202),"")&amp;"'"&amp;";"&amp;
" group:= Egroup."&amp;OpCode!E202&amp;";"&amp;
" mode:= Emode."&amp;OpCode!F202&amp;";"&amp;
" len:= "&amp;OpCode!G202&amp;";"&amp;
" cycle:= ["&amp;SUBSTITUTE(OpCode!H202,"|",",")&amp;"];"&amp;
" end;"</f>
        <v>(* *) with OpCodes[$C8] do begin code:= @op_INY; inst:= 'INY'; fmt:= 'INY'; group:= Egroup.arith; mode:= Emode.imp; len:= 1; cycle:= [2]; end;</v>
      </c>
    </row>
    <row r="203" spans="1:4" ht="78.75" x14ac:dyDescent="0.25">
      <c r="A203" s="18" t="str">
        <f>"op"&amp;"_"&amp;OpCode!C203&amp;ConvertFormat2(OpCode!D203)</f>
        <v>op_CMP_imm</v>
      </c>
      <c r="B203" s="19" t="str">
        <f t="shared" si="3"/>
        <v>procedure TCPU_6502.op_CMP_imm;</v>
      </c>
      <c r="C203" s="20" t="str">
        <f>$B203&amp;CHAR(10)&amp;ConvertCode(OpCode!K203,OpCode!I203,OpCode!H203,"")</f>
        <v>procedure TCPU_6502.op_CMP_imm;
var 
  t: iSize8;
  b1: iSize8;
begin
  b1:= ReadMem(PC);
  PC:= (PC+1) and $FFFF;
  t:= A - b1;
  F[Flag_Z]:= (t = 0);
  F[Flag_N]:= (t and $80) = $80;
  F[Flag_C]:= (t and $100) = $100;  
  inc(cycles, 2);
end;</v>
      </c>
      <c r="D203" s="19" t="str">
        <f>IF(OpCode!B203="Y","(*U*)","(* *)")&amp;
" with OpCodes[$"&amp;OpCode!A203&amp;"] do begin" &amp;
" code:= @"&amp;A203&amp;";"&amp;
" inst:= '"&amp;OpCode!C203&amp;"';"&amp;
" fmt:= '"&amp;OpCode!C203&amp;IF(OpCode!D203&lt;&gt;"","'+#9+'"&amp;convertFormat(OpCode!D203),"")&amp;"'"&amp;";"&amp;
" group:= Egroup."&amp;OpCode!E203&amp;";"&amp;
" mode:= Emode."&amp;OpCode!F203&amp;";"&amp;
" len:= "&amp;OpCode!G203&amp;";"&amp;
" cycle:= ["&amp;SUBSTITUTE(OpCode!H203,"|",",")&amp;"];"&amp;
" end;"</f>
        <v>(* *) with OpCodes[$C9] do begin code:= @op_CMP_imm; inst:= 'CMP'; fmt:= 'CMP'+#9+'#%.2x'; group:= Egroup.arith; mode:= Emode.imm; len:= 2; cycle:= [2]; end;</v>
      </c>
    </row>
    <row r="204" spans="1:4" ht="78.75" x14ac:dyDescent="0.25">
      <c r="A204" s="18" t="str">
        <f>"op"&amp;"_"&amp;OpCode!C204&amp;ConvertFormat2(OpCode!D204)</f>
        <v>op_DEX</v>
      </c>
      <c r="B204" s="19" t="str">
        <f t="shared" si="3"/>
        <v>procedure TCPU_6502.op_DEX;</v>
      </c>
      <c r="C204" s="20" t="str">
        <f>$B204&amp;CHAR(10)&amp;ConvertCode(OpCode!K204,OpCode!I204,OpCode!H204,"")</f>
        <v>procedure TCPU_6502.op_DEX;
var 
  t: iSize8;
begin
  t:= X - 1;
  X:= (t and $FF);
  F[Flag_Z]:= (t = 0);
  F[Flag_N]:= (t and $80) = $80;
  inc(cycles, 2);
end;</v>
      </c>
      <c r="D204" s="19" t="str">
        <f>IF(OpCode!B204="Y","(*U*)","(* *)")&amp;
" with OpCodes[$"&amp;OpCode!A204&amp;"] do begin" &amp;
" code:= @"&amp;A204&amp;";"&amp;
" inst:= '"&amp;OpCode!C204&amp;"';"&amp;
" fmt:= '"&amp;OpCode!C204&amp;IF(OpCode!D204&lt;&gt;"","'+#9+'"&amp;convertFormat(OpCode!D204),"")&amp;"'"&amp;";"&amp;
" group:= Egroup."&amp;OpCode!E204&amp;";"&amp;
" mode:= Emode."&amp;OpCode!F204&amp;";"&amp;
" len:= "&amp;OpCode!G204&amp;";"&amp;
" cycle:= ["&amp;SUBSTITUTE(OpCode!H204,"|",",")&amp;"];"&amp;
" end;"</f>
        <v>(* *) with OpCodes[$CA] do begin code:= @op_DEX; inst:= 'DEX'; fmt:= 'DEX'; group:= Egroup.arith; mode:= Emode.imp; len:= 1; cycle:= [2]; end;</v>
      </c>
    </row>
    <row r="205" spans="1:4" ht="78.75" x14ac:dyDescent="0.25">
      <c r="A205" s="18" t="str">
        <f>"op"&amp;"_"&amp;OpCode!C205&amp;ConvertFormat2(OpCode!D205)</f>
        <v>op_WAI</v>
      </c>
      <c r="B205" s="19" t="str">
        <f t="shared" si="3"/>
        <v>procedure TCPU_6502.op_WAI;</v>
      </c>
      <c r="C205" s="20" t="str">
        <f>$B205&amp;CHAR(10)&amp;ConvertCode(OpCode!K205,OpCode!I205,OpCode!H205,"")</f>
        <v>procedure TCPU_6502.op_WAI;
begin
  Stop Processor until Interrupt;
  inc(cycles, 3);
end;</v>
      </c>
      <c r="D205" s="19" t="str">
        <f>IF(OpCode!B205="Y","(*U*)","(* *)")&amp;
" with OpCodes[$"&amp;OpCode!A205&amp;"] do begin" &amp;
" code:= @"&amp;A205&amp;";"&amp;
" inst:= '"&amp;OpCode!C205&amp;"';"&amp;
" fmt:= '"&amp;OpCode!C205&amp;IF(OpCode!D205&lt;&gt;"","'+#9+'"&amp;convertFormat(OpCode!D205),"")&amp;"'"&amp;";"&amp;
" group:= Egroup."&amp;OpCode!E205&amp;";"&amp;
" mode:= Emode."&amp;OpCode!F205&amp;";"&amp;
" len:= "&amp;OpCode!G205&amp;";"&amp;
" cycle:= ["&amp;SUBSTITUTE(OpCode!H205,"|",",")&amp;"];"&amp;
" end;"</f>
        <v>(* *) with OpCodes[$CB] do begin code:= @op_WAI; inst:= 'WAI'; fmt:= 'WAI'; group:= Egroup.control; mode:= Emode.imp; len:= 1; cycle:= [3]; end;</v>
      </c>
    </row>
    <row r="206" spans="1:4" ht="78.75" x14ac:dyDescent="0.25">
      <c r="A206" s="18" t="str">
        <f>"op"&amp;"_"&amp;OpCode!C206&amp;ConvertFormat2(OpCode!D206)</f>
        <v>op_CPY_abs</v>
      </c>
      <c r="B206" s="19" t="str">
        <f t="shared" si="3"/>
        <v>procedure TCPU_6502.op_CPY_abs;</v>
      </c>
      <c r="C206" s="20" t="str">
        <f>$B206&amp;CHAR(10)&amp;ConvertCode(OpCode!K206,OpCode!I206,OpCode!H206,"")</f>
        <v>procedure TCPU_6502.op_CPY_abs;
var 
  t: iSize8;
  MA: iSize16;
  MV: iSize8;
  b1: iSize8;
  b2: iSize8;
begin
  b1:= ReadMem(PC);
  PC:= (PC+1) and $FFFF;
  b2:= ReadMem(PC);
  PC:= (PC+1) and $FFFF;
  MA:= b1 + b2 shl 8;
  MV:= ReadMem(MA);
  t:= Y - MV;
  F[Flag_Z]:= (t = 0);
  F[Flag_N]:= (t and $80) = $80;
  F[Flag_C]:= (t and $100) = $100;  
  inc(cycles, 4);
end;</v>
      </c>
      <c r="D206" s="19" t="str">
        <f>IF(OpCode!B206="Y","(*U*)","(* *)")&amp;
" with OpCodes[$"&amp;OpCode!A206&amp;"] do begin" &amp;
" code:= @"&amp;A206&amp;";"&amp;
" inst:= '"&amp;OpCode!C206&amp;"';"&amp;
" fmt:= '"&amp;OpCode!C206&amp;IF(OpCode!D206&lt;&gt;"","'+#9+'"&amp;convertFormat(OpCode!D206),"")&amp;"'"&amp;";"&amp;
" group:= Egroup."&amp;OpCode!E206&amp;";"&amp;
" mode:= Emode."&amp;OpCode!F206&amp;";"&amp;
" len:= "&amp;OpCode!G206&amp;";"&amp;
" cycle:= ["&amp;SUBSTITUTE(OpCode!H206,"|",",")&amp;"];"&amp;
" end;"</f>
        <v>(* *) with OpCodes[$CC] do begin code:= @op_CPY_abs; inst:= 'CPY'; fmt:= 'CPY'+#9+'$%.4x'; group:= Egroup.arith; mode:= Emode.abs; len:= 3; cycle:= [4]; end;</v>
      </c>
    </row>
    <row r="207" spans="1:4" ht="78.75" x14ac:dyDescent="0.25">
      <c r="A207" s="18" t="str">
        <f>"op"&amp;"_"&amp;OpCode!C207&amp;ConvertFormat2(OpCode!D207)</f>
        <v>op_CMP_abs</v>
      </c>
      <c r="B207" s="19" t="str">
        <f t="shared" si="3"/>
        <v>procedure TCPU_6502.op_CMP_abs;</v>
      </c>
      <c r="C207" s="20" t="str">
        <f>$B207&amp;CHAR(10)&amp;ConvertCode(OpCode!K207,OpCode!I207,OpCode!H207,"")</f>
        <v>procedure TCPU_6502.op_CMP_abs;
var 
  t: iSize8;
  MA: iSize16;
  MV: iSize8;
  b1: iSize8;
  b2: iSize8;
begin
  b1:= ReadMem(PC);
  PC:= (PC+1) and $FFFF;
  b2:= ReadMem(PC);
  PC:= (PC+1) and $FFFF;
  MA:= b1 + b2 shl 8;
  MV:= ReadMem(MA);
  t:= A - MV;
  F[Flag_Z]:= (t = 0);
  F[Flag_N]:= (t and $80) = $80;
  F[Flag_C]:= (t and $100) = $100;  
  inc(cycles, 4);
end;</v>
      </c>
      <c r="D207" s="19" t="str">
        <f>IF(OpCode!B207="Y","(*U*)","(* *)")&amp;
" with OpCodes[$"&amp;OpCode!A207&amp;"] do begin" &amp;
" code:= @"&amp;A207&amp;";"&amp;
" inst:= '"&amp;OpCode!C207&amp;"';"&amp;
" fmt:= '"&amp;OpCode!C207&amp;IF(OpCode!D207&lt;&gt;"","'+#9+'"&amp;convertFormat(OpCode!D207),"")&amp;"'"&amp;";"&amp;
" group:= Egroup."&amp;OpCode!E207&amp;";"&amp;
" mode:= Emode."&amp;OpCode!F207&amp;";"&amp;
" len:= "&amp;OpCode!G207&amp;";"&amp;
" cycle:= ["&amp;SUBSTITUTE(OpCode!H207,"|",",")&amp;"];"&amp;
" end;"</f>
        <v>(* *) with OpCodes[$CD] do begin code:= @op_CMP_abs; inst:= 'CMP'; fmt:= 'CMP'+#9+'$%.4x'; group:= Egroup.arith; mode:= Emode.abs; len:= 3; cycle:= [4]; end;</v>
      </c>
    </row>
    <row r="208" spans="1:4" ht="78.75" x14ac:dyDescent="0.25">
      <c r="A208" s="18" t="str">
        <f>"op"&amp;"_"&amp;OpCode!C208&amp;ConvertFormat2(OpCode!D208)</f>
        <v>op_DEC_abs</v>
      </c>
      <c r="B208" s="19" t="str">
        <f t="shared" si="3"/>
        <v>procedure TCPU_6502.op_DEC_abs;</v>
      </c>
      <c r="C208" s="20" t="str">
        <f>$B208&amp;CHAR(10)&amp;ConvertCode(OpCode!K208,OpCode!I208,OpCode!H208,"")</f>
        <v>procedure TCPU_6502.op_DEC_abs;
var 
  t: iSize8;
  MA: iSize16;
  MV: iSize8;
  b1: iSize8;
  b2: iSize8;
begin
  b1:= ReadMem(PC);
  PC:= (PC+1) and $FFFF;
  b2:= ReadMem(PC);
  PC:= (PC+1) and $FFFF;
  MA:= b1 + b2 shl 8;
  MV:= ReadMem(MA);
  t:= MV - 1;
  WriteMem(MA, t and $FF);
  F[Flag_Z]:= (t = 0);
  F[Flag_N]:= (t and $80) = $80;
  inc(cycles, 6);
end;</v>
      </c>
      <c r="D208" s="19" t="str">
        <f>IF(OpCode!B208="Y","(*U*)","(* *)")&amp;
" with OpCodes[$"&amp;OpCode!A208&amp;"] do begin" &amp;
" code:= @"&amp;A208&amp;";"&amp;
" inst:= '"&amp;OpCode!C208&amp;"';"&amp;
" fmt:= '"&amp;OpCode!C208&amp;IF(OpCode!D208&lt;&gt;"","'+#9+'"&amp;convertFormat(OpCode!D208),"")&amp;"'"&amp;";"&amp;
" group:= Egroup."&amp;OpCode!E208&amp;";"&amp;
" mode:= Emode."&amp;OpCode!F208&amp;";"&amp;
" len:= "&amp;OpCode!G208&amp;";"&amp;
" cycle:= ["&amp;SUBSTITUTE(OpCode!H208,"|",",")&amp;"];"&amp;
" end;"</f>
        <v>(* *) with OpCodes[$CE] do begin code:= @op_DEC_abs; inst:= 'DEC'; fmt:= 'DEC'+#9+'$%.4x'; group:= Egroup.arith; mode:= Emode.abs; len:= 3; cycle:= [6]; end;</v>
      </c>
    </row>
    <row r="209" spans="1:4" ht="78.75" x14ac:dyDescent="0.25">
      <c r="A209" s="18" t="str">
        <f>"op"&amp;"_"&amp;OpCode!C209&amp;ConvertFormat2(OpCode!D209)</f>
        <v>op_BBS4_dp,rel8</v>
      </c>
      <c r="B209" s="19" t="str">
        <f t="shared" si="3"/>
        <v>procedure TCPU_6502.op_BBS4_dp,rel8;</v>
      </c>
      <c r="C209" s="20" t="str">
        <f>$B209&amp;CHAR(10)&amp;ConvertCode(OpCode!K209,OpCode!I209,OpCode!H209,"")</f>
        <v>procedure TCPU_6502.op_BBS4_dp,rel8;
begin
  Branch on Bit Set. Tests a specific bit of a byte held on zero page and causes a branch of the bit is set (1);
  inc(cycles, 2|3);
end;</v>
      </c>
      <c r="D209" s="19" t="str">
        <f>IF(OpCode!B209="Y","(*U*)","(* *)")&amp;
" with OpCodes[$"&amp;OpCode!A209&amp;"] do begin" &amp;
" code:= @"&amp;A209&amp;";"&amp;
" inst:= '"&amp;OpCode!C209&amp;"';"&amp;
" fmt:= '"&amp;OpCode!C209&amp;IF(OpCode!D209&lt;&gt;"","'+#9+'"&amp;convertFormat(OpCode!D209),"")&amp;"'"&amp;";"&amp;
" group:= Egroup."&amp;OpCode!E209&amp;";"&amp;
" mode:= Emode."&amp;OpCode!F209&amp;";"&amp;
" len:= "&amp;OpCode!G209&amp;";"&amp;
" cycle:= ["&amp;SUBSTITUTE(OpCode!H209,"|",",")&amp;"];"&amp;
" end;"</f>
        <v>(* *) with OpCodes[$CF] do begin code:= @op_BBS4_dp,rel8; inst:= 'BBS4'; fmt:= 'BBS4'+#9+'$%.2x,%d'; group:= Egroup.branch; mode:= Emode.dp_rel; len:= 3; cycle:= [2,3]; end;</v>
      </c>
    </row>
    <row r="210" spans="1:4" ht="78.75" x14ac:dyDescent="0.25">
      <c r="A210" s="18" t="str">
        <f>"op"&amp;"_"&amp;OpCode!C210&amp;ConvertFormat2(OpCode!D210)</f>
        <v>op_BNE_rel8</v>
      </c>
      <c r="B210" s="19" t="str">
        <f t="shared" si="3"/>
        <v>procedure TCPU_6502.op_BNE_rel8;</v>
      </c>
      <c r="C210" s="20" t="str">
        <f>$B210&amp;CHAR(10)&amp;ConvertCode(OpCode!K210,OpCode!I210,OpCode!H210,"")</f>
        <v>procedure TCPU_6502.op_BNE_rel8;
var 
  b1: iSize8;
begin
  b1:= ReadMem(PC);
  PC:= (PC+1) and $FFFF;
  if not Z  then PC:= ((PC + b1) and $FF);
  inc(cycles, 2|3);
end;</v>
      </c>
      <c r="D210" s="19" t="str">
        <f>IF(OpCode!B210="Y","(*U*)","(* *)")&amp;
" with OpCodes[$"&amp;OpCode!A210&amp;"] do begin" &amp;
" code:= @"&amp;A210&amp;";"&amp;
" inst:= '"&amp;OpCode!C210&amp;"';"&amp;
" fmt:= '"&amp;OpCode!C210&amp;IF(OpCode!D210&lt;&gt;"","'+#9+'"&amp;convertFormat(OpCode!D210),"")&amp;"'"&amp;";"&amp;
" group:= Egroup."&amp;OpCode!E210&amp;";"&amp;
" mode:= Emode."&amp;OpCode!F210&amp;";"&amp;
" len:= "&amp;OpCode!G210&amp;";"&amp;
" cycle:= ["&amp;SUBSTITUTE(OpCode!H210,"|",",")&amp;"];"&amp;
" end;"</f>
        <v>(* *) with OpCodes[$D0] do begin code:= @op_BNE_rel8; inst:= 'BNE'; fmt:= 'BNE'+#9+'%d'; group:= Egroup.branch; mode:= Emode.rel; len:= 2; cycle:= [2,3]; end;</v>
      </c>
    </row>
    <row r="211" spans="1:4" ht="78.75" x14ac:dyDescent="0.25">
      <c r="A211" s="18" t="str">
        <f>"op"&amp;"_"&amp;OpCode!C211&amp;ConvertFormat2(OpCode!D211)</f>
        <v>op_CMP_dp_ind_idY</v>
      </c>
      <c r="B211" s="19" t="str">
        <f t="shared" si="3"/>
        <v>procedure TCPU_6502.op_CMP_dp_ind_idY;</v>
      </c>
      <c r="C211" s="20" t="str">
        <f>$B211&amp;CHAR(10)&amp;ConvertCode(OpCode!K211,OpCode!I211,OpCode!H211,"")</f>
        <v>procedure TCPU_6502.op_CMP_dp_ind_idY;
var 
  t: iSize8;
  MA: iSize16;
  MV: iSize8;
  b1: iSize8;
begin
  b1:= ReadMem(PC);
  PC:= (PC+1) and $FFFF;
  MA:= b1;
  MA:= ReadMem(MA)+256*ReadMem((MA+1) and $FFFF) + Y;
  MV:= ReadMem(MA);
  t:= A - MV;
  F[Flag_Z]:= (t = 0);
  F[Flag_N]:= (t and $80) = $80;
  F[Flag_C]:= (t and $100) = $100;  
  inc(cycles, 5);
end;</v>
      </c>
      <c r="D211" s="19" t="str">
        <f>IF(OpCode!B211="Y","(*U*)","(* *)")&amp;
" with OpCodes[$"&amp;OpCode!A211&amp;"] do begin" &amp;
" code:= @"&amp;A211&amp;";"&amp;
" inst:= '"&amp;OpCode!C211&amp;"';"&amp;
" fmt:= '"&amp;OpCode!C211&amp;IF(OpCode!D211&lt;&gt;"","'+#9+'"&amp;convertFormat(OpCode!D211),"")&amp;"'"&amp;";"&amp;
" group:= Egroup."&amp;OpCode!E211&amp;";"&amp;
" mode:= Emode."&amp;OpCode!F211&amp;";"&amp;
" len:= "&amp;OpCode!G211&amp;";"&amp;
" cycle:= ["&amp;SUBSTITUTE(OpCode!H211,"|",",")&amp;"];"&amp;
" end;"</f>
        <v>(* *) with OpCodes[$D1] do begin code:= @op_CMP_dp_ind_idY; inst:= 'CMP'; fmt:= 'CMP'+#9+'($%.2x),Y'; group:= Egroup.arith; mode:= Emode.dp_ind_idx; len:= 2; cycle:= [5]; end;</v>
      </c>
    </row>
    <row r="212" spans="1:4" ht="78.75" x14ac:dyDescent="0.25">
      <c r="A212" s="18" t="str">
        <f>"op"&amp;"_"&amp;OpCode!C212&amp;ConvertFormat2(OpCode!D212)</f>
        <v>op_CMP_dp_ind</v>
      </c>
      <c r="B212" s="19" t="str">
        <f t="shared" si="3"/>
        <v>procedure TCPU_6502.op_CMP_dp_ind;</v>
      </c>
      <c r="C212" s="20" t="str">
        <f>$B212&amp;CHAR(10)&amp;ConvertCode(OpCode!K212,OpCode!I212,OpCode!H212,"")</f>
        <v>procedure TCPU_6502.op_CMP_dp_ind;
var 
  t: iSize8;
  MA: iSize16;
  MV: iSize8;
  b1: iSize8;
begin
  b1:= ReadMem(PC);
  PC:= (PC+1) and $FFFF;
  MA:= b1;
  MA:= ReadMem(MA)+256*ReadMem((MA+1) and $FFFF);
  MV:= ReadMem(MA);
  t:= A - MV;
  F[Flag_Z]:= (t = 0);
  F[Flag_N]:= (t and $80) = $80;
  F[Flag_C]:= (t and $100) = $100;  
  inc(cycles, 5);
end;</v>
      </c>
      <c r="D212" s="19" t="str">
        <f>IF(OpCode!B212="Y","(*U*)","(* *)")&amp;
" with OpCodes[$"&amp;OpCode!A212&amp;"] do begin" &amp;
" code:= @"&amp;A212&amp;";"&amp;
" inst:= '"&amp;OpCode!C212&amp;"';"&amp;
" fmt:= '"&amp;OpCode!C212&amp;IF(OpCode!D212&lt;&gt;"","'+#9+'"&amp;convertFormat(OpCode!D212),"")&amp;"'"&amp;";"&amp;
" group:= Egroup."&amp;OpCode!E212&amp;";"&amp;
" mode:= Emode."&amp;OpCode!F212&amp;";"&amp;
" len:= "&amp;OpCode!G212&amp;";"&amp;
" cycle:= ["&amp;SUBSTITUTE(OpCode!H212,"|",",")&amp;"];"&amp;
" end;"</f>
        <v>(* *) with OpCodes[$D2] do begin code:= @op_CMP_dp_ind; inst:= 'CMP'; fmt:= 'CMP'+#9+'($%.2x)'; group:= Egroup.arith; mode:= Emode.dp_ind; len:= 2; cycle:= [5]; end;</v>
      </c>
    </row>
    <row r="213" spans="1:4" ht="78.75" x14ac:dyDescent="0.25">
      <c r="A213" s="18" t="str">
        <f>"op"&amp;"_"&amp;OpCode!C213&amp;ConvertFormat2(OpCode!D213)</f>
        <v>op_NOP</v>
      </c>
      <c r="B213" s="19" t="str">
        <f t="shared" si="3"/>
        <v>procedure TCPU_6502.op_NOP;</v>
      </c>
      <c r="C213" s="20" t="str">
        <f>$B213&amp;CHAR(10)&amp;ConvertCode(OpCode!K213,OpCode!I213,OpCode!H213,"")</f>
        <v>procedure TCPU_6502.op_NOP;
begin
  No operation;
  inc(cycles, 2);
end;</v>
      </c>
      <c r="D213" s="19" t="str">
        <f>IF(OpCode!B213="Y","(*U*)","(* *)")&amp;
" with OpCodes[$"&amp;OpCode!A213&amp;"] do begin" &amp;
" code:= @"&amp;A213&amp;";"&amp;
" inst:= '"&amp;OpCode!C213&amp;"';"&amp;
" fmt:= '"&amp;OpCode!C213&amp;IF(OpCode!D213&lt;&gt;"","'+#9+'"&amp;convertFormat(OpCode!D213),"")&amp;"'"&amp;";"&amp;
" group:= Egroup."&amp;OpCode!E213&amp;";"&amp;
" mode:= Emode."&amp;OpCode!F213&amp;";"&amp;
" len:= "&amp;OpCode!G213&amp;";"&amp;
" cycle:= ["&amp;SUBSTITUTE(OpCode!H213,"|",",")&amp;"];"&amp;
" end;"</f>
        <v>(* *) with OpCodes[$D3] do begin code:= @op_NOP; inst:= 'NOP'; fmt:= 'NOP'; group:= Egroup.control; mode:= Emode.imp; len:= 1; cycle:= [2]; end;</v>
      </c>
    </row>
    <row r="214" spans="1:4" ht="78.75" x14ac:dyDescent="0.25">
      <c r="A214" s="18" t="str">
        <f>"op"&amp;"_"&amp;OpCode!C214&amp;ConvertFormat2(OpCode!D214)</f>
        <v>op_NOP</v>
      </c>
      <c r="B214" s="19" t="str">
        <f t="shared" si="3"/>
        <v>procedure TCPU_6502.op_NOP;</v>
      </c>
      <c r="C214" s="20" t="str">
        <f>$B214&amp;CHAR(10)&amp;ConvertCode(OpCode!K214,OpCode!I214,OpCode!H214,"")</f>
        <v>procedure TCPU_6502.op_NOP;
begin
  No operation;
  inc(cycles, 2);
end;</v>
      </c>
      <c r="D214" s="19" t="str">
        <f>IF(OpCode!B214="Y","(*U*)","(* *)")&amp;
" with OpCodes[$"&amp;OpCode!A214&amp;"] do begin" &amp;
" code:= @"&amp;A214&amp;";"&amp;
" inst:= '"&amp;OpCode!C214&amp;"';"&amp;
" fmt:= '"&amp;OpCode!C214&amp;IF(OpCode!D214&lt;&gt;"","'+#9+'"&amp;convertFormat(OpCode!D214),"")&amp;"'"&amp;";"&amp;
" group:= Egroup."&amp;OpCode!E214&amp;";"&amp;
" mode:= Emode."&amp;OpCode!F214&amp;";"&amp;
" len:= "&amp;OpCode!G214&amp;";"&amp;
" cycle:= ["&amp;SUBSTITUTE(OpCode!H214,"|",",")&amp;"];"&amp;
" end;"</f>
        <v>(* *) with OpCodes[$D4] do begin code:= @op_NOP; inst:= 'NOP'; fmt:= 'NOP'; group:= Egroup.control; mode:= Emode.imp; len:= 1; cycle:= [2]; end;</v>
      </c>
    </row>
    <row r="215" spans="1:4" ht="78.75" x14ac:dyDescent="0.25">
      <c r="A215" s="18" t="str">
        <f>"op"&amp;"_"&amp;OpCode!C215&amp;ConvertFormat2(OpCode!D215)</f>
        <v>op_CMP_dp_idX</v>
      </c>
      <c r="B215" s="19" t="str">
        <f t="shared" si="3"/>
        <v>procedure TCPU_6502.op_CMP_dp_idX;</v>
      </c>
      <c r="C215" s="20" t="str">
        <f>$B215&amp;CHAR(10)&amp;ConvertCode(OpCode!K215,OpCode!I215,OpCode!H215,"")</f>
        <v>procedure TCPU_6502.op_CMP_dp_idX;
var 
  t: iSize8;
  MA: iSize16;
  MV: iSize8;
  b1: iSize8;
begin
  b1:= ReadMem(PC);
  PC:= (PC+1) and $FFFF;
  MA:= ((b1 + X) and $FFFF);
  MV:= ReadMem(MA);
  t:= A - MV;
  F[Flag_Z]:= (t = 0);
  F[Flag_N]:= (t and $80) = $80;
  F[Flag_C]:= (t and $100) = $100;  
  inc(cycles, 4);
end;</v>
      </c>
      <c r="D215" s="19" t="str">
        <f>IF(OpCode!B215="Y","(*U*)","(* *)")&amp;
" with OpCodes[$"&amp;OpCode!A215&amp;"] do begin" &amp;
" code:= @"&amp;A215&amp;";"&amp;
" inst:= '"&amp;OpCode!C215&amp;"';"&amp;
" fmt:= '"&amp;OpCode!C215&amp;IF(OpCode!D215&lt;&gt;"","'+#9+'"&amp;convertFormat(OpCode!D215),"")&amp;"'"&amp;";"&amp;
" group:= Egroup."&amp;OpCode!E215&amp;";"&amp;
" mode:= Emode."&amp;OpCode!F215&amp;";"&amp;
" len:= "&amp;OpCode!G215&amp;";"&amp;
" cycle:= ["&amp;SUBSTITUTE(OpCode!H215,"|",",")&amp;"];"&amp;
" end;"</f>
        <v>(* *) with OpCodes[$D5] do begin code:= @op_CMP_dp_idX; inst:= 'CMP'; fmt:= 'CMP'+#9+'$%.2x,X'; group:= Egroup.arith; mode:= Emode.dp_idx; len:= 2; cycle:= [4]; end;</v>
      </c>
    </row>
    <row r="216" spans="1:4" ht="78.75" x14ac:dyDescent="0.25">
      <c r="A216" s="18" t="str">
        <f>"op"&amp;"_"&amp;OpCode!C216&amp;ConvertFormat2(OpCode!D216)</f>
        <v>op_DEC_dp_idX</v>
      </c>
      <c r="B216" s="19" t="str">
        <f t="shared" si="3"/>
        <v>procedure TCPU_6502.op_DEC_dp_idX;</v>
      </c>
      <c r="C216" s="20" t="str">
        <f>$B216&amp;CHAR(10)&amp;ConvertCode(OpCode!K216,OpCode!I216,OpCode!H216,"")</f>
        <v>procedure TCPU_6502.op_DEC_dp_idX;
var 
  t: iSize8;
  MA: iSize16;
  MV: iSize8;
  b1: iSize8;
begin
  b1:= ReadMem(PC);
  PC:= (PC+1) and $FFFF;
  MA:= ((b1 + X) and $FFFF);
  MV:= ReadMem(MA);
  t:= MV - 1;
  WriteMem(MA, t and $FF);
  F[Flag_Z]:= (t = 0);
  F[Flag_N]:= (t and $80) = $80;
  inc(cycles, 6);
end;</v>
      </c>
      <c r="D216" s="19" t="str">
        <f>IF(OpCode!B216="Y","(*U*)","(* *)")&amp;
" with OpCodes[$"&amp;OpCode!A216&amp;"] do begin" &amp;
" code:= @"&amp;A216&amp;";"&amp;
" inst:= '"&amp;OpCode!C216&amp;"';"&amp;
" fmt:= '"&amp;OpCode!C216&amp;IF(OpCode!D216&lt;&gt;"","'+#9+'"&amp;convertFormat(OpCode!D216),"")&amp;"'"&amp;";"&amp;
" group:= Egroup."&amp;OpCode!E216&amp;";"&amp;
" mode:= Emode."&amp;OpCode!F216&amp;";"&amp;
" len:= "&amp;OpCode!G216&amp;";"&amp;
" cycle:= ["&amp;SUBSTITUTE(OpCode!H216,"|",",")&amp;"];"&amp;
" end;"</f>
        <v>(* *) with OpCodes[$D6] do begin code:= @op_DEC_dp_idX; inst:= 'DEC'; fmt:= 'DEC'+#9+'$%.2x,X'; group:= Egroup.arith; mode:= Emode.dp_idx; len:= 2; cycle:= [6]; end;</v>
      </c>
    </row>
    <row r="217" spans="1:4" ht="78.75" x14ac:dyDescent="0.25">
      <c r="A217" s="18" t="str">
        <f>"op"&amp;"_"&amp;OpCode!C217&amp;ConvertFormat2(OpCode!D217)</f>
        <v>op_SMB5_dp</v>
      </c>
      <c r="B217" s="19" t="str">
        <f t="shared" si="3"/>
        <v>procedure TCPU_6502.op_SMB5_dp;</v>
      </c>
      <c r="C217" s="20" t="str">
        <f>$B217&amp;CHAR(10)&amp;ConvertCode(OpCode!K217,OpCode!I217,OpCode!H217,"")</f>
        <v>procedure TCPU_6502.op_SMB5_dp;
begin
  Set Memory Bit. Sets a specific bit of a byte held on zero page.;
  F[Flag_Z]:= (t = 0);
  inc(cycles, 5);
end;</v>
      </c>
      <c r="D217" s="19" t="str">
        <f>IF(OpCode!B217="Y","(*U*)","(* *)")&amp;
" with OpCodes[$"&amp;OpCode!A217&amp;"] do begin" &amp;
" code:= @"&amp;A217&amp;";"&amp;
" inst:= '"&amp;OpCode!C217&amp;"';"&amp;
" fmt:= '"&amp;OpCode!C217&amp;IF(OpCode!D217&lt;&gt;"","'+#9+'"&amp;convertFormat(OpCode!D217),"")&amp;"'"&amp;";"&amp;
" group:= Egroup."&amp;OpCode!E217&amp;";"&amp;
" mode:= Emode."&amp;OpCode!F217&amp;";"&amp;
" len:= "&amp;OpCode!G217&amp;";"&amp;
" cycle:= ["&amp;SUBSTITUTE(OpCode!H217,"|",",")&amp;"];"&amp;
" end;"</f>
        <v>(* *) with OpCodes[$D7] do begin code:= @op_SMB5_dp; inst:= 'SMB5'; fmt:= 'SMB5'+#9+'$%.2x'; group:= Egroup.logic; mode:= Emode.dp; len:= 2; cycle:= [5]; end;</v>
      </c>
    </row>
    <row r="218" spans="1:4" ht="78.75" x14ac:dyDescent="0.25">
      <c r="A218" s="18" t="str">
        <f>"op"&amp;"_"&amp;OpCode!C218&amp;ConvertFormat2(OpCode!D218)</f>
        <v>op_CLD</v>
      </c>
      <c r="B218" s="19" t="str">
        <f t="shared" si="3"/>
        <v>procedure TCPU_6502.op_CLD;</v>
      </c>
      <c r="C218" s="20" t="str">
        <f>$B218&amp;CHAR(10)&amp;ConvertCode(OpCode!K218,OpCode!I218,OpCode!H218,"")</f>
        <v>procedure TCPU_6502.op_CLD;
begin
  d:= ((1) and $FF);
  F[Flag_d]:= false;
  inc(cycles, 2);
end;</v>
      </c>
      <c r="D218" s="19" t="str">
        <f>IF(OpCode!B218="Y","(*U*)","(* *)")&amp;
" with OpCodes[$"&amp;OpCode!A218&amp;"] do begin" &amp;
" code:= @"&amp;A218&amp;";"&amp;
" inst:= '"&amp;OpCode!C218&amp;"';"&amp;
" fmt:= '"&amp;OpCode!C218&amp;IF(OpCode!D218&lt;&gt;"","'+#9+'"&amp;convertFormat(OpCode!D218),"")&amp;"'"&amp;";"&amp;
" group:= Egroup."&amp;OpCode!E218&amp;";"&amp;
" mode:= Emode."&amp;OpCode!F218&amp;";"&amp;
" len:= "&amp;OpCode!G218&amp;";"&amp;
" cycle:= ["&amp;SUBSTITUTE(OpCode!H218,"|",",")&amp;"];"&amp;
" end;"</f>
        <v>(* *) with OpCodes[$D8] do begin code:= @op_CLD; inst:= 'CLD'; fmt:= 'CLD'; group:= Egroup.control; mode:= Emode.imp; len:= 1; cycle:= [2]; end;</v>
      </c>
    </row>
    <row r="219" spans="1:4" ht="78.75" x14ac:dyDescent="0.25">
      <c r="A219" s="18" t="str">
        <f>"op"&amp;"_"&amp;OpCode!C219&amp;ConvertFormat2(OpCode!D219)</f>
        <v>op_CMP_abs_idY</v>
      </c>
      <c r="B219" s="19" t="str">
        <f t="shared" si="3"/>
        <v>procedure TCPU_6502.op_CMP_abs_idY;</v>
      </c>
      <c r="C219" s="20" t="str">
        <f>$B219&amp;CHAR(10)&amp;ConvertCode(OpCode!K219,OpCode!I219,OpCode!H219,"")</f>
        <v>procedure TCPU_6502.op_CMP_abs_idY;
var 
  t: iSize8;
  MA: iSize16;
  MV: iSize8;
  b1: iSize8;
  b2: iSize8;
begin
  b1:= ReadMem(PC);
  PC:= (PC+1) and $FFFF;
  b2:= ReadMem(PC);
  PC:= (PC+1) and $FFFF;
  MA:= ((b1 + b2 shl 8 + Y) and $FFFF);
  MV:= ReadMem(MA);
  t:= A - MV;
  F[Flag_Z]:= (t = 0);
  F[Flag_N]:= (t and $80) = $80;
  F[Flag_C]:= (t and $100) = $100;  
  inc(cycles, 4);
end;</v>
      </c>
      <c r="D219" s="19" t="str">
        <f>IF(OpCode!B219="Y","(*U*)","(* *)")&amp;
" with OpCodes[$"&amp;OpCode!A219&amp;"] do begin" &amp;
" code:= @"&amp;A219&amp;";"&amp;
" inst:= '"&amp;OpCode!C219&amp;"';"&amp;
" fmt:= '"&amp;OpCode!C219&amp;IF(OpCode!D219&lt;&gt;"","'+#9+'"&amp;convertFormat(OpCode!D219),"")&amp;"'"&amp;";"&amp;
" group:= Egroup."&amp;OpCode!E219&amp;";"&amp;
" mode:= Emode."&amp;OpCode!F219&amp;";"&amp;
" len:= "&amp;OpCode!G219&amp;";"&amp;
" cycle:= ["&amp;SUBSTITUTE(OpCode!H219,"|",",")&amp;"];"&amp;
" end;"</f>
        <v>(* *) with OpCodes[$D9] do begin code:= @op_CMP_abs_idY; inst:= 'CMP'; fmt:= 'CMP'+#9+'$%.4x,Y'; group:= Egroup.arith; mode:= Emode.abs_idx; len:= 3; cycle:= [4]; end;</v>
      </c>
    </row>
    <row r="220" spans="1:4" ht="78.75" x14ac:dyDescent="0.25">
      <c r="A220" s="18" t="str">
        <f>"op"&amp;"_"&amp;OpCode!C220&amp;ConvertFormat2(OpCode!D220)</f>
        <v>op_PHX</v>
      </c>
      <c r="B220" s="19" t="str">
        <f t="shared" si="3"/>
        <v>procedure TCPU_6502.op_PHX;</v>
      </c>
      <c r="C220" s="20" t="str">
        <f>$B220&amp;CHAR(10)&amp;ConvertCode(OpCode!K220,OpCode!I220,OpCode!H220,"")</f>
        <v>procedure TCPU_6502.op_PHX;
begin
  SP:= (SP - 1) and $FF; 
  WriteMem($100+SP, X);
  inc(cycles, 3);
end;</v>
      </c>
      <c r="D220" s="19" t="str">
        <f>IF(OpCode!B220="Y","(*U*)","(* *)")&amp;
" with OpCodes[$"&amp;OpCode!A220&amp;"] do begin" &amp;
" code:= @"&amp;A220&amp;";"&amp;
" inst:= '"&amp;OpCode!C220&amp;"';"&amp;
" fmt:= '"&amp;OpCode!C220&amp;IF(OpCode!D220&lt;&gt;"","'+#9+'"&amp;convertFormat(OpCode!D220),"")&amp;"'"&amp;";"&amp;
" group:= Egroup."&amp;OpCode!E220&amp;";"&amp;
" mode:= Emode."&amp;OpCode!F220&amp;";"&amp;
" len:= "&amp;OpCode!G220&amp;";"&amp;
" cycle:= ["&amp;SUBSTITUTE(OpCode!H220,"|",",")&amp;"];"&amp;
" end;"</f>
        <v>(* *) with OpCodes[$DA] do begin code:= @op_PHX; inst:= 'PHX'; fmt:= 'PHX'; group:= Egroup.stack; mode:= Emode.imp; len:= 1; cycle:= [3]; end;</v>
      </c>
    </row>
    <row r="221" spans="1:4" ht="78.75" x14ac:dyDescent="0.25">
      <c r="A221" s="18" t="str">
        <f>"op"&amp;"_"&amp;OpCode!C221&amp;ConvertFormat2(OpCode!D221)</f>
        <v>op_STP</v>
      </c>
      <c r="B221" s="19" t="str">
        <f t="shared" si="3"/>
        <v>procedure TCPU_6502.op_STP;</v>
      </c>
      <c r="C221" s="20" t="str">
        <f>$B221&amp;CHAR(10)&amp;ConvertCode(OpCode!K221,OpCode!I221,OpCode!H221,"")</f>
        <v>procedure TCPU_6502.op_STP;
begin
  Stop Processor;
  inc(cycles, 3);
end;</v>
      </c>
      <c r="D221" s="19" t="str">
        <f>IF(OpCode!B221="Y","(*U*)","(* *)")&amp;
" with OpCodes[$"&amp;OpCode!A221&amp;"] do begin" &amp;
" code:= @"&amp;A221&amp;";"&amp;
" inst:= '"&amp;OpCode!C221&amp;"';"&amp;
" fmt:= '"&amp;OpCode!C221&amp;IF(OpCode!D221&lt;&gt;"","'+#9+'"&amp;convertFormat(OpCode!D221),"")&amp;"'"&amp;";"&amp;
" group:= Egroup."&amp;OpCode!E221&amp;";"&amp;
" mode:= Emode."&amp;OpCode!F221&amp;";"&amp;
" len:= "&amp;OpCode!G221&amp;";"&amp;
" cycle:= ["&amp;SUBSTITUTE(OpCode!H221,"|",",")&amp;"];"&amp;
" end;"</f>
        <v>(* *) with OpCodes[$DB] do begin code:= @op_STP; inst:= 'STP'; fmt:= 'STP'; group:= Egroup.control; mode:= Emode.imp; len:= 1; cycle:= [3]; end;</v>
      </c>
    </row>
    <row r="222" spans="1:4" ht="78.75" x14ac:dyDescent="0.25">
      <c r="A222" s="18" t="str">
        <f>"op"&amp;"_"&amp;OpCode!C222&amp;ConvertFormat2(OpCode!D222)</f>
        <v>op_NOP</v>
      </c>
      <c r="B222" s="19" t="str">
        <f t="shared" si="3"/>
        <v>procedure TCPU_6502.op_NOP;</v>
      </c>
      <c r="C222" s="20" t="str">
        <f>$B222&amp;CHAR(10)&amp;ConvertCode(OpCode!K222,OpCode!I222,OpCode!H222,"")</f>
        <v>procedure TCPU_6502.op_NOP;
begin
  No operation;
  inc(cycles, 2);
end;</v>
      </c>
      <c r="D222" s="19" t="str">
        <f>IF(OpCode!B222="Y","(*U*)","(* *)")&amp;
" with OpCodes[$"&amp;OpCode!A222&amp;"] do begin" &amp;
" code:= @"&amp;A222&amp;";"&amp;
" inst:= '"&amp;OpCode!C222&amp;"';"&amp;
" fmt:= '"&amp;OpCode!C222&amp;IF(OpCode!D222&lt;&gt;"","'+#9+'"&amp;convertFormat(OpCode!D222),"")&amp;"'"&amp;";"&amp;
" group:= Egroup."&amp;OpCode!E222&amp;";"&amp;
" mode:= Emode."&amp;OpCode!F222&amp;";"&amp;
" len:= "&amp;OpCode!G222&amp;";"&amp;
" cycle:= ["&amp;SUBSTITUTE(OpCode!H222,"|",",")&amp;"];"&amp;
" end;"</f>
        <v>(* *) with OpCodes[$DC] do begin code:= @op_NOP; inst:= 'NOP'; fmt:= 'NOP'; group:= Egroup.control; mode:= Emode.imp; len:= 1; cycle:= [2]; end;</v>
      </c>
    </row>
    <row r="223" spans="1:4" ht="78.75" x14ac:dyDescent="0.25">
      <c r="A223" s="18" t="str">
        <f>"op"&amp;"_"&amp;OpCode!C223&amp;ConvertFormat2(OpCode!D223)</f>
        <v>op_CMP_abs_idX</v>
      </c>
      <c r="B223" s="19" t="str">
        <f t="shared" si="3"/>
        <v>procedure TCPU_6502.op_CMP_abs_idX;</v>
      </c>
      <c r="C223" s="20" t="str">
        <f>$B223&amp;CHAR(10)&amp;ConvertCode(OpCode!K223,OpCode!I223,OpCode!H223,"")</f>
        <v>procedure TCPU_6502.op_CMP_abs_idX;
var 
  t: iSize8;
  MA: iSize16;
  MV: iSize8;
  b1: iSize8;
  b2: iSize8;
begin
  b1:= ReadMem(PC);
  PC:= (PC+1) and $FFFF;
  b2:= ReadMem(PC);
  PC:= (PC+1) and $FFFF;
  MA:= ((b1 + b2 shl 8 + X) and $FFFF);
  MV:= ReadMem(MA);
  t:= A - MV;
  F[Flag_Z]:= (t = 0);
  F[Flag_N]:= (t and $80) = $80;
  F[Flag_C]:= (t and $100) = $100;  
  inc(cycles, 4);
end;</v>
      </c>
      <c r="D223" s="19" t="str">
        <f>IF(OpCode!B223="Y","(*U*)","(* *)")&amp;
" with OpCodes[$"&amp;OpCode!A223&amp;"] do begin" &amp;
" code:= @"&amp;A223&amp;";"&amp;
" inst:= '"&amp;OpCode!C223&amp;"';"&amp;
" fmt:= '"&amp;OpCode!C223&amp;IF(OpCode!D223&lt;&gt;"","'+#9+'"&amp;convertFormat(OpCode!D223),"")&amp;"'"&amp;";"&amp;
" group:= Egroup."&amp;OpCode!E223&amp;";"&amp;
" mode:= Emode."&amp;OpCode!F223&amp;";"&amp;
" len:= "&amp;OpCode!G223&amp;";"&amp;
" cycle:= ["&amp;SUBSTITUTE(OpCode!H223,"|",",")&amp;"];"&amp;
" end;"</f>
        <v>(* *) with OpCodes[$DD] do begin code:= @op_CMP_abs_idX; inst:= 'CMP'; fmt:= 'CMP'+#9+'$%.4x,X'; group:= Egroup.arith; mode:= Emode.abs_idx; len:= 3; cycle:= [4]; end;</v>
      </c>
    </row>
    <row r="224" spans="1:4" ht="78.75" x14ac:dyDescent="0.25">
      <c r="A224" s="18" t="str">
        <f>"op"&amp;"_"&amp;OpCode!C224&amp;ConvertFormat2(OpCode!D224)</f>
        <v>op_DEC_abs_idX</v>
      </c>
      <c r="B224" s="19" t="str">
        <f t="shared" si="3"/>
        <v>procedure TCPU_6502.op_DEC_abs_idX;</v>
      </c>
      <c r="C224" s="20" t="str">
        <f>$B224&amp;CHAR(10)&amp;ConvertCode(OpCode!K224,OpCode!I224,OpCode!H224,"")</f>
        <v>procedure TCPU_6502.op_DEC_abs_idX;
var 
  t: iSize8;
  MA: iSize16;
  MV: iSize8;
  b1: iSize8;
  b2: iSize8;
begin
  b1:= ReadMem(PC);
  PC:= (PC+1) and $FFFF;
  b2:= ReadMem(PC);
  PC:= (PC+1) and $FFFF;
  MA:= ((b1 + b2 shl 8 + X) and $FFFF);
  MV:= ReadMem(MA);
  t:= MV - 1;
  WriteMem(MA, t and $FF);
  F[Flag_Z]:= (t = 0);
  F[Flag_N]:= (t and $80) = $80;
  inc(cycles, 7);
end;</v>
      </c>
      <c r="D224" s="19" t="str">
        <f>IF(OpCode!B224="Y","(*U*)","(* *)")&amp;
" with OpCodes[$"&amp;OpCode!A224&amp;"] do begin" &amp;
" code:= @"&amp;A224&amp;";"&amp;
" inst:= '"&amp;OpCode!C224&amp;"';"&amp;
" fmt:= '"&amp;OpCode!C224&amp;IF(OpCode!D224&lt;&gt;"","'+#9+'"&amp;convertFormat(OpCode!D224),"")&amp;"'"&amp;";"&amp;
" group:= Egroup."&amp;OpCode!E224&amp;";"&amp;
" mode:= Emode."&amp;OpCode!F224&amp;";"&amp;
" len:= "&amp;OpCode!G224&amp;";"&amp;
" cycle:= ["&amp;SUBSTITUTE(OpCode!H224,"|",",")&amp;"];"&amp;
" end;"</f>
        <v>(* *) with OpCodes[$DE] do begin code:= @op_DEC_abs_idX; inst:= 'DEC'; fmt:= 'DEC'+#9+'$%.4x,X'; group:= Egroup.arith; mode:= Emode.abs_idx; len:= 3; cycle:= [7]; end;</v>
      </c>
    </row>
    <row r="225" spans="1:4" ht="78.75" x14ac:dyDescent="0.25">
      <c r="A225" s="18" t="str">
        <f>"op"&amp;"_"&amp;OpCode!C225&amp;ConvertFormat2(OpCode!D225)</f>
        <v>op_BBS5_dp,rel8</v>
      </c>
      <c r="B225" s="19" t="str">
        <f t="shared" si="3"/>
        <v>procedure TCPU_6502.op_BBS5_dp,rel8;</v>
      </c>
      <c r="C225" s="20" t="str">
        <f>$B225&amp;CHAR(10)&amp;ConvertCode(OpCode!K225,OpCode!I225,OpCode!H225,"")</f>
        <v>procedure TCPU_6502.op_BBS5_dp,rel8;
begin
  Branch on Bit Set. Tests a specific bit of a byte held on zero page and causes a branch of the bit is set (1);
  inc(cycles, 2|3);
end;</v>
      </c>
      <c r="D225" s="19" t="str">
        <f>IF(OpCode!B225="Y","(*U*)","(* *)")&amp;
" with OpCodes[$"&amp;OpCode!A225&amp;"] do begin" &amp;
" code:= @"&amp;A225&amp;";"&amp;
" inst:= '"&amp;OpCode!C225&amp;"';"&amp;
" fmt:= '"&amp;OpCode!C225&amp;IF(OpCode!D225&lt;&gt;"","'+#9+'"&amp;convertFormat(OpCode!D225),"")&amp;"'"&amp;";"&amp;
" group:= Egroup."&amp;OpCode!E225&amp;";"&amp;
" mode:= Emode."&amp;OpCode!F225&amp;";"&amp;
" len:= "&amp;OpCode!G225&amp;";"&amp;
" cycle:= ["&amp;SUBSTITUTE(OpCode!H225,"|",",")&amp;"];"&amp;
" end;"</f>
        <v>(* *) with OpCodes[$DF] do begin code:= @op_BBS5_dp,rel8; inst:= 'BBS5'; fmt:= 'BBS5'+#9+'$%.2x,%d'; group:= Egroup.branch; mode:= Emode.dp_rel; len:= 3; cycle:= [2,3]; end;</v>
      </c>
    </row>
    <row r="226" spans="1:4" ht="78.75" x14ac:dyDescent="0.25">
      <c r="A226" s="18" t="str">
        <f>"op"&amp;"_"&amp;OpCode!C226&amp;ConvertFormat2(OpCode!D226)</f>
        <v>op_CPX_imm</v>
      </c>
      <c r="B226" s="19" t="str">
        <f t="shared" si="3"/>
        <v>procedure TCPU_6502.op_CPX_imm;</v>
      </c>
      <c r="C226" s="20" t="str">
        <f>$B226&amp;CHAR(10)&amp;ConvertCode(OpCode!K226,OpCode!I226,OpCode!H226,"")</f>
        <v>procedure TCPU_6502.op_CPX_imm;
var 
  t: iSize8;
  b1: iSize8;
begin
  b1:= ReadMem(PC);
  PC:= (PC+1) and $FFFF;
  t:= X - b1;
  F[Flag_Z]:= (t = 0);
  F[Flag_N]:= (t and $80) = $80;
  F[Flag_C]:= (t and $100) = $100;  
  inc(cycles, 2);
end;</v>
      </c>
      <c r="D226" s="19" t="str">
        <f>IF(OpCode!B226="Y","(*U*)","(* *)")&amp;
" with OpCodes[$"&amp;OpCode!A226&amp;"] do begin" &amp;
" code:= @"&amp;A226&amp;";"&amp;
" inst:= '"&amp;OpCode!C226&amp;"';"&amp;
" fmt:= '"&amp;OpCode!C226&amp;IF(OpCode!D226&lt;&gt;"","'+#9+'"&amp;convertFormat(OpCode!D226),"")&amp;"'"&amp;";"&amp;
" group:= Egroup."&amp;OpCode!E226&amp;";"&amp;
" mode:= Emode."&amp;OpCode!F226&amp;";"&amp;
" len:= "&amp;OpCode!G226&amp;";"&amp;
" cycle:= ["&amp;SUBSTITUTE(OpCode!H226,"|",",")&amp;"];"&amp;
" end;"</f>
        <v>(* *) with OpCodes[$E0] do begin code:= @op_CPX_imm; inst:= 'CPX'; fmt:= 'CPX'+#9+'#%.2x'; group:= Egroup.arith; mode:= Emode.imm; len:= 2; cycle:= [2]; end;</v>
      </c>
    </row>
    <row r="227" spans="1:4" ht="78.75" x14ac:dyDescent="0.25">
      <c r="A227" s="18" t="str">
        <f>"op"&amp;"_"&amp;OpCode!C227&amp;ConvertFormat2(OpCode!D227)</f>
        <v>op_SBC_dp_idX_ind</v>
      </c>
      <c r="B227" s="19" t="str">
        <f t="shared" si="3"/>
        <v>procedure TCPU_6502.op_SBC_dp_idX_ind;</v>
      </c>
      <c r="C227" s="20" t="str">
        <f>$B227&amp;CHAR(10)&amp;ConvertCode(OpCode!K227,OpCode!I227,OpCode!H227,"")</f>
        <v>procedure TCPU_6502.op_SBC_dp_idX_ind;
var 
  t: iSize8;
  MA: iSize16;
  MV: iSize8;
  b1: iSize8;
begin
  b1:= ReadMem(PC);
  PC:= (PC+1) and $FFFF;
  MA:= ((b1 + X) and $FFFF);
  MA:= ReadMem(MA)+256*ReadMem((MA+1) and $FFFF);
  MV:= ReadMem(MA);
  t:= A - MV - bool_bit[F[Flag_C]];
  A:= (t and $FF);
  F[Flag_V]:= (t&gt;$FF);
  F[Flag_Z]:= (t = 0);
  F[Flag_N]:= (t and $80) = $80;
  F[Flag_C]:= (t and $100) = $100;  
  inc(cycles, 6);
end;</v>
      </c>
      <c r="D227" s="19" t="str">
        <f>IF(OpCode!B227="Y","(*U*)","(* *)")&amp;
" with OpCodes[$"&amp;OpCode!A227&amp;"] do begin" &amp;
" code:= @"&amp;A227&amp;";"&amp;
" inst:= '"&amp;OpCode!C227&amp;"';"&amp;
" fmt:= '"&amp;OpCode!C227&amp;IF(OpCode!D227&lt;&gt;"","'+#9+'"&amp;convertFormat(OpCode!D227),"")&amp;"'"&amp;";"&amp;
" group:= Egroup."&amp;OpCode!E227&amp;";"&amp;
" mode:= Emode."&amp;OpCode!F227&amp;";"&amp;
" len:= "&amp;OpCode!G227&amp;";"&amp;
" cycle:= ["&amp;SUBSTITUTE(OpCode!H227,"|",",")&amp;"];"&amp;
" end;"</f>
        <v>(* *) with OpCodes[$E1] do begin code:= @op_SBC_dp_idX_ind; inst:= 'SBC'; fmt:= 'SBC'+#9+'($%.2x,X)'; group:= Egroup.arith; mode:= Emode.dp_idx_ind; len:= 2; cycle:= [6]; end;</v>
      </c>
    </row>
    <row r="228" spans="1:4" ht="78.75" x14ac:dyDescent="0.25">
      <c r="A228" s="18" t="str">
        <f>"op"&amp;"_"&amp;OpCode!C228&amp;ConvertFormat2(OpCode!D228)</f>
        <v>op_NOP</v>
      </c>
      <c r="B228" s="19" t="str">
        <f t="shared" si="3"/>
        <v>procedure TCPU_6502.op_NOP;</v>
      </c>
      <c r="C228" s="20" t="str">
        <f>$B228&amp;CHAR(10)&amp;ConvertCode(OpCode!K228,OpCode!I228,OpCode!H228,"")</f>
        <v>procedure TCPU_6502.op_NOP;
begin
  No operation;
  inc(cycles, 2);
end;</v>
      </c>
      <c r="D228" s="19" t="str">
        <f>IF(OpCode!B228="Y","(*U*)","(* *)")&amp;
" with OpCodes[$"&amp;OpCode!A228&amp;"] do begin" &amp;
" code:= @"&amp;A228&amp;";"&amp;
" inst:= '"&amp;OpCode!C228&amp;"';"&amp;
" fmt:= '"&amp;OpCode!C228&amp;IF(OpCode!D228&lt;&gt;"","'+#9+'"&amp;convertFormat(OpCode!D228),"")&amp;"'"&amp;";"&amp;
" group:= Egroup."&amp;OpCode!E228&amp;";"&amp;
" mode:= Emode."&amp;OpCode!F228&amp;";"&amp;
" len:= "&amp;OpCode!G228&amp;";"&amp;
" cycle:= ["&amp;SUBSTITUTE(OpCode!H228,"|",",")&amp;"];"&amp;
" end;"</f>
        <v>(* *) with OpCodes[$E2] do begin code:= @op_NOP; inst:= 'NOP'; fmt:= 'NOP'; group:= Egroup.control; mode:= Emode.imp; len:= 1; cycle:= [2]; end;</v>
      </c>
    </row>
    <row r="229" spans="1:4" ht="78.75" x14ac:dyDescent="0.25">
      <c r="A229" s="18" t="str">
        <f>"op"&amp;"_"&amp;OpCode!C229&amp;ConvertFormat2(OpCode!D229)</f>
        <v>op_NOP</v>
      </c>
      <c r="B229" s="19" t="str">
        <f t="shared" si="3"/>
        <v>procedure TCPU_6502.op_NOP;</v>
      </c>
      <c r="C229" s="20" t="str">
        <f>$B229&amp;CHAR(10)&amp;ConvertCode(OpCode!K229,OpCode!I229,OpCode!H229,"")</f>
        <v>procedure TCPU_6502.op_NOP;
begin
  No operation;
  inc(cycles, 2);
end;</v>
      </c>
      <c r="D229" s="19" t="str">
        <f>IF(OpCode!B229="Y","(*U*)","(* *)")&amp;
" with OpCodes[$"&amp;OpCode!A229&amp;"] do begin" &amp;
" code:= @"&amp;A229&amp;";"&amp;
" inst:= '"&amp;OpCode!C229&amp;"';"&amp;
" fmt:= '"&amp;OpCode!C229&amp;IF(OpCode!D229&lt;&gt;"","'+#9+'"&amp;convertFormat(OpCode!D229),"")&amp;"'"&amp;";"&amp;
" group:= Egroup."&amp;OpCode!E229&amp;";"&amp;
" mode:= Emode."&amp;OpCode!F229&amp;";"&amp;
" len:= "&amp;OpCode!G229&amp;";"&amp;
" cycle:= ["&amp;SUBSTITUTE(OpCode!H229,"|",",")&amp;"];"&amp;
" end;"</f>
        <v>(* *) with OpCodes[$E3] do begin code:= @op_NOP; inst:= 'NOP'; fmt:= 'NOP'; group:= Egroup.control; mode:= Emode.imp; len:= 1; cycle:= [2]; end;</v>
      </c>
    </row>
    <row r="230" spans="1:4" ht="78.75" x14ac:dyDescent="0.25">
      <c r="A230" s="18" t="str">
        <f>"op"&amp;"_"&amp;OpCode!C230&amp;ConvertFormat2(OpCode!D230)</f>
        <v>op_CPX_dp</v>
      </c>
      <c r="B230" s="19" t="str">
        <f t="shared" si="3"/>
        <v>procedure TCPU_6502.op_CPX_dp;</v>
      </c>
      <c r="C230" s="20" t="str">
        <f>$B230&amp;CHAR(10)&amp;ConvertCode(OpCode!K230,OpCode!I230,OpCode!H230,"")</f>
        <v>procedure TCPU_6502.op_CPX_dp;
var 
  t: iSize8;
  MA: iSize16;
  MV: iSize8;
  b1: iSize8;
begin
  b1:= ReadMem(PC);
  PC:= (PC+1) and $FFFF;
  MA:= b1;
  MV:= ReadMem(MA);
  t:= X - MV;
  F[Flag_Z]:= (t = 0);
  F[Flag_N]:= (t and $80) = $80;
  F[Flag_C]:= (t and $100) = $100;  
  inc(cycles, 3);
end;</v>
      </c>
      <c r="D230" s="19" t="str">
        <f>IF(OpCode!B230="Y","(*U*)","(* *)")&amp;
" with OpCodes[$"&amp;OpCode!A230&amp;"] do begin" &amp;
" code:= @"&amp;A230&amp;";"&amp;
" inst:= '"&amp;OpCode!C230&amp;"';"&amp;
" fmt:= '"&amp;OpCode!C230&amp;IF(OpCode!D230&lt;&gt;"","'+#9+'"&amp;convertFormat(OpCode!D230),"")&amp;"'"&amp;";"&amp;
" group:= Egroup."&amp;OpCode!E230&amp;";"&amp;
" mode:= Emode."&amp;OpCode!F230&amp;";"&amp;
" len:= "&amp;OpCode!G230&amp;";"&amp;
" cycle:= ["&amp;SUBSTITUTE(OpCode!H230,"|",",")&amp;"];"&amp;
" end;"</f>
        <v>(* *) with OpCodes[$E4] do begin code:= @op_CPX_dp; inst:= 'CPX'; fmt:= 'CPX'+#9+'$%.2x'; group:= Egroup.arith; mode:= Emode.dp; len:= 2; cycle:= [3]; end;</v>
      </c>
    </row>
    <row r="231" spans="1:4" ht="78.75" x14ac:dyDescent="0.25">
      <c r="A231" s="18" t="str">
        <f>"op"&amp;"_"&amp;OpCode!C231&amp;ConvertFormat2(OpCode!D231)</f>
        <v>op_SBC_dp</v>
      </c>
      <c r="B231" s="19" t="str">
        <f t="shared" si="3"/>
        <v>procedure TCPU_6502.op_SBC_dp;</v>
      </c>
      <c r="C231" s="20" t="str">
        <f>$B231&amp;CHAR(10)&amp;ConvertCode(OpCode!K231,OpCode!I231,OpCode!H231,"")</f>
        <v>procedure TCPU_6502.op_SBC_dp;
var 
  t: iSize8;
  MA: iSize16;
  MV: iSize8;
  b1: iSize8;
begin
  b1:= ReadMem(PC);
  PC:= (PC+1) and $FFFF;
  MA:= b1;
  MV:= ReadMem(MA);
  t:= A - MV - bool_bit[F[Flag_C]];
  A:= (t and $FF);
  F[Flag_V]:= (t&gt;$FF);
  F[Flag_Z]:= (t = 0);
  F[Flag_N]:= (t and $80) = $80;
  F[Flag_C]:= (t and $100) = $100;  
  inc(cycles, 3);
end;</v>
      </c>
      <c r="D231" s="19" t="str">
        <f>IF(OpCode!B231="Y","(*U*)","(* *)")&amp;
" with OpCodes[$"&amp;OpCode!A231&amp;"] do begin" &amp;
" code:= @"&amp;A231&amp;";"&amp;
" inst:= '"&amp;OpCode!C231&amp;"';"&amp;
" fmt:= '"&amp;OpCode!C231&amp;IF(OpCode!D231&lt;&gt;"","'+#9+'"&amp;convertFormat(OpCode!D231),"")&amp;"'"&amp;";"&amp;
" group:= Egroup."&amp;OpCode!E231&amp;";"&amp;
" mode:= Emode."&amp;OpCode!F231&amp;";"&amp;
" len:= "&amp;OpCode!G231&amp;";"&amp;
" cycle:= ["&amp;SUBSTITUTE(OpCode!H231,"|",",")&amp;"];"&amp;
" end;"</f>
        <v>(* *) with OpCodes[$E5] do begin code:= @op_SBC_dp; inst:= 'SBC'; fmt:= 'SBC'+#9+'$%.2x'; group:= Egroup.arith; mode:= Emode.dp; len:= 2; cycle:= [3]; end;</v>
      </c>
    </row>
    <row r="232" spans="1:4" ht="78.75" x14ac:dyDescent="0.25">
      <c r="A232" s="18" t="str">
        <f>"op"&amp;"_"&amp;OpCode!C232&amp;ConvertFormat2(OpCode!D232)</f>
        <v>op_INC_dp</v>
      </c>
      <c r="B232" s="19" t="str">
        <f t="shared" si="3"/>
        <v>procedure TCPU_6502.op_INC_dp;</v>
      </c>
      <c r="C232" s="20" t="str">
        <f>$B232&amp;CHAR(10)&amp;ConvertCode(OpCode!K232,OpCode!I232,OpCode!H232,"")</f>
        <v>procedure TCPU_6502.op_INC_dp;
var 
  t: iSize8;
  MA: iSize16;
  MV: iSize8;
  b1: iSize8;
begin
  b1:= ReadMem(PC);
  PC:= (PC+1) and $FFFF;
  MA:= b1;
  MV:= ReadMem(MA);
  t:= MV + 1;
  WriteMem(MA, t and $FF);
  F[Flag_Z]:= (t = 0);
  F[Flag_N]:= (t and $80) = $80;
  inc(cycles, 5);
end;</v>
      </c>
      <c r="D232" s="19" t="str">
        <f>IF(OpCode!B232="Y","(*U*)","(* *)")&amp;
" with OpCodes[$"&amp;OpCode!A232&amp;"] do begin" &amp;
" code:= @"&amp;A232&amp;";"&amp;
" inst:= '"&amp;OpCode!C232&amp;"';"&amp;
" fmt:= '"&amp;OpCode!C232&amp;IF(OpCode!D232&lt;&gt;"","'+#9+'"&amp;convertFormat(OpCode!D232),"")&amp;"'"&amp;";"&amp;
" group:= Egroup."&amp;OpCode!E232&amp;";"&amp;
" mode:= Emode."&amp;OpCode!F232&amp;";"&amp;
" len:= "&amp;OpCode!G232&amp;";"&amp;
" cycle:= ["&amp;SUBSTITUTE(OpCode!H232,"|",",")&amp;"];"&amp;
" end;"</f>
        <v>(* *) with OpCodes[$E6] do begin code:= @op_INC_dp; inst:= 'INC'; fmt:= 'INC'+#9+'$%.2x'; group:= Egroup.arith; mode:= Emode.dp; len:= 2; cycle:= [5]; end;</v>
      </c>
    </row>
    <row r="233" spans="1:4" ht="78.75" x14ac:dyDescent="0.25">
      <c r="A233" s="18" t="str">
        <f>"op"&amp;"_"&amp;OpCode!C233&amp;ConvertFormat2(OpCode!D233)</f>
        <v>op_SMB6_dp</v>
      </c>
      <c r="B233" s="19" t="str">
        <f t="shared" si="3"/>
        <v>procedure TCPU_6502.op_SMB6_dp;</v>
      </c>
      <c r="C233" s="20" t="str">
        <f>$B233&amp;CHAR(10)&amp;ConvertCode(OpCode!K233,OpCode!I233,OpCode!H233,"")</f>
        <v>procedure TCPU_6502.op_SMB6_dp;
begin
  Set Memory Bit. Sets a specific bit of a byte held on zero page.;
  F[Flag_Z]:= (t = 0);
  inc(cycles, 5);
end;</v>
      </c>
      <c r="D233" s="19" t="str">
        <f>IF(OpCode!B233="Y","(*U*)","(* *)")&amp;
" with OpCodes[$"&amp;OpCode!A233&amp;"] do begin" &amp;
" code:= @"&amp;A233&amp;";"&amp;
" inst:= '"&amp;OpCode!C233&amp;"';"&amp;
" fmt:= '"&amp;OpCode!C233&amp;IF(OpCode!D233&lt;&gt;"","'+#9+'"&amp;convertFormat(OpCode!D233),"")&amp;"'"&amp;";"&amp;
" group:= Egroup."&amp;OpCode!E233&amp;";"&amp;
" mode:= Emode."&amp;OpCode!F233&amp;";"&amp;
" len:= "&amp;OpCode!G233&amp;";"&amp;
" cycle:= ["&amp;SUBSTITUTE(OpCode!H233,"|",",")&amp;"];"&amp;
" end;"</f>
        <v>(* *) with OpCodes[$E7] do begin code:= @op_SMB6_dp; inst:= 'SMB6'; fmt:= 'SMB6'+#9+'$%.2x'; group:= Egroup.logic; mode:= Emode.dp; len:= 2; cycle:= [5]; end;</v>
      </c>
    </row>
    <row r="234" spans="1:4" ht="78.75" x14ac:dyDescent="0.25">
      <c r="A234" s="18" t="str">
        <f>"op"&amp;"_"&amp;OpCode!C234&amp;ConvertFormat2(OpCode!D234)</f>
        <v>op_INX</v>
      </c>
      <c r="B234" s="19" t="str">
        <f t="shared" si="3"/>
        <v>procedure TCPU_6502.op_INX;</v>
      </c>
      <c r="C234" s="20" t="str">
        <f>$B234&amp;CHAR(10)&amp;ConvertCode(OpCode!K234,OpCode!I234,OpCode!H234,"")</f>
        <v>procedure TCPU_6502.op_INX;
var 
  t: iSize8;
begin
  t:= X + 1;
  X:= (t and $FF);
  F[Flag_Z]:= (t = 0);
  F[Flag_N]:= (t and $80) = $80;
  inc(cycles, 2);
end;</v>
      </c>
      <c r="D234" s="19" t="str">
        <f>IF(OpCode!B234="Y","(*U*)","(* *)")&amp;
" with OpCodes[$"&amp;OpCode!A234&amp;"] do begin" &amp;
" code:= @"&amp;A234&amp;";"&amp;
" inst:= '"&amp;OpCode!C234&amp;"';"&amp;
" fmt:= '"&amp;OpCode!C234&amp;IF(OpCode!D234&lt;&gt;"","'+#9+'"&amp;convertFormat(OpCode!D234),"")&amp;"'"&amp;";"&amp;
" group:= Egroup."&amp;OpCode!E234&amp;";"&amp;
" mode:= Emode."&amp;OpCode!F234&amp;";"&amp;
" len:= "&amp;OpCode!G234&amp;";"&amp;
" cycle:= ["&amp;SUBSTITUTE(OpCode!H234,"|",",")&amp;"];"&amp;
" end;"</f>
        <v>(* *) with OpCodes[$E8] do begin code:= @op_INX; inst:= 'INX'; fmt:= 'INX'; group:= Egroup.arith; mode:= Emode.imp; len:= 1; cycle:= [2]; end;</v>
      </c>
    </row>
    <row r="235" spans="1:4" ht="78.75" x14ac:dyDescent="0.25">
      <c r="A235" s="18" t="str">
        <f>"op"&amp;"_"&amp;OpCode!C235&amp;ConvertFormat2(OpCode!D235)</f>
        <v>op_SBC_imm</v>
      </c>
      <c r="B235" s="19" t="str">
        <f t="shared" si="3"/>
        <v>procedure TCPU_6502.op_SBC_imm;</v>
      </c>
      <c r="C235" s="20" t="str">
        <f>$B235&amp;CHAR(10)&amp;ConvertCode(OpCode!K235,OpCode!I235,OpCode!H235,"")</f>
        <v>procedure TCPU_6502.op_SBC_imm;
var 
  t: iSize8;
  b1: iSize8;
begin
  b1:= ReadMem(PC);
  PC:= (PC+1) and $FFFF;
  t:= A - b1 - bool_bit[F[Flag_C]];
  A:= (t and $FF);
  F[Flag_V]:= (t&gt;$FF);
  F[Flag_Z]:= (t = 0);
  F[Flag_N]:= (t and $80) = $80;
  F[Flag_C]:= (t and $100) = $100;  
  inc(cycles, 2);
end;</v>
      </c>
      <c r="D235" s="19" t="str">
        <f>IF(OpCode!B235="Y","(*U*)","(* *)")&amp;
" with OpCodes[$"&amp;OpCode!A235&amp;"] do begin" &amp;
" code:= @"&amp;A235&amp;";"&amp;
" inst:= '"&amp;OpCode!C235&amp;"';"&amp;
" fmt:= '"&amp;OpCode!C235&amp;IF(OpCode!D235&lt;&gt;"","'+#9+'"&amp;convertFormat(OpCode!D235),"")&amp;"'"&amp;";"&amp;
" group:= Egroup."&amp;OpCode!E235&amp;";"&amp;
" mode:= Emode."&amp;OpCode!F235&amp;";"&amp;
" len:= "&amp;OpCode!G235&amp;";"&amp;
" cycle:= ["&amp;SUBSTITUTE(OpCode!H235,"|",",")&amp;"];"&amp;
" end;"</f>
        <v>(* *) with OpCodes[$E9] do begin code:= @op_SBC_imm; inst:= 'SBC'; fmt:= 'SBC'+#9+'#%.2x'; group:= Egroup.arith; mode:= Emode.imm; len:= 2; cycle:= [2]; end;</v>
      </c>
    </row>
    <row r="236" spans="1:4" ht="78.75" x14ac:dyDescent="0.25">
      <c r="A236" s="18" t="str">
        <f>"op"&amp;"_"&amp;OpCode!C236&amp;ConvertFormat2(OpCode!D236)</f>
        <v>op_NOP</v>
      </c>
      <c r="B236" s="19" t="str">
        <f t="shared" si="3"/>
        <v>procedure TCPU_6502.op_NOP;</v>
      </c>
      <c r="C236" s="20" t="str">
        <f>$B236&amp;CHAR(10)&amp;ConvertCode(OpCode!K236,OpCode!I236,OpCode!H236,"")</f>
        <v>procedure TCPU_6502.op_NOP;
begin
  No operation;
  inc(cycles, 2);
end;</v>
      </c>
      <c r="D236" s="19" t="str">
        <f>IF(OpCode!B236="Y","(*U*)","(* *)")&amp;
" with OpCodes[$"&amp;OpCode!A236&amp;"] do begin" &amp;
" code:= @"&amp;A236&amp;";"&amp;
" inst:= '"&amp;OpCode!C236&amp;"';"&amp;
" fmt:= '"&amp;OpCode!C236&amp;IF(OpCode!D236&lt;&gt;"","'+#9+'"&amp;convertFormat(OpCode!D236),"")&amp;"'"&amp;";"&amp;
" group:= Egroup."&amp;OpCode!E236&amp;";"&amp;
" mode:= Emode."&amp;OpCode!F236&amp;";"&amp;
" len:= "&amp;OpCode!G236&amp;";"&amp;
" cycle:= ["&amp;SUBSTITUTE(OpCode!H236,"|",",")&amp;"];"&amp;
" end;"</f>
        <v>(* *) with OpCodes[$EA] do begin code:= @op_NOP; inst:= 'NOP'; fmt:= 'NOP'; group:= Egroup.control; mode:= Emode.imp; len:= 1; cycle:= [2]; end;</v>
      </c>
    </row>
    <row r="237" spans="1:4" ht="78.75" x14ac:dyDescent="0.25">
      <c r="A237" s="18" t="str">
        <f>"op"&amp;"_"&amp;OpCode!C237&amp;ConvertFormat2(OpCode!D237)</f>
        <v>op_NOP</v>
      </c>
      <c r="B237" s="19" t="str">
        <f t="shared" si="3"/>
        <v>procedure TCPU_6502.op_NOP;</v>
      </c>
      <c r="C237" s="20" t="str">
        <f>$B237&amp;CHAR(10)&amp;ConvertCode(OpCode!K237,OpCode!I237,OpCode!H237,"")</f>
        <v>procedure TCPU_6502.op_NOP;
begin
  No operation;
  inc(cycles, 2);
end;</v>
      </c>
      <c r="D237" s="19" t="str">
        <f>IF(OpCode!B237="Y","(*U*)","(* *)")&amp;
" with OpCodes[$"&amp;OpCode!A237&amp;"] do begin" &amp;
" code:= @"&amp;A237&amp;";"&amp;
" inst:= '"&amp;OpCode!C237&amp;"';"&amp;
" fmt:= '"&amp;OpCode!C237&amp;IF(OpCode!D237&lt;&gt;"","'+#9+'"&amp;convertFormat(OpCode!D237),"")&amp;"'"&amp;";"&amp;
" group:= Egroup."&amp;OpCode!E237&amp;";"&amp;
" mode:= Emode."&amp;OpCode!F237&amp;";"&amp;
" len:= "&amp;OpCode!G237&amp;";"&amp;
" cycle:= ["&amp;SUBSTITUTE(OpCode!H237,"|",",")&amp;"];"&amp;
" end;"</f>
        <v>(* *) with OpCodes[$EB] do begin code:= @op_NOP; inst:= 'NOP'; fmt:= 'NOP'; group:= Egroup.control; mode:= Emode.imp; len:= 1; cycle:= [2]; end;</v>
      </c>
    </row>
    <row r="238" spans="1:4" ht="78.75" x14ac:dyDescent="0.25">
      <c r="A238" s="18" t="str">
        <f>"op"&amp;"_"&amp;OpCode!C238&amp;ConvertFormat2(OpCode!D238)</f>
        <v>op_CPX_abs</v>
      </c>
      <c r="B238" s="19" t="str">
        <f t="shared" si="3"/>
        <v>procedure TCPU_6502.op_CPX_abs;</v>
      </c>
      <c r="C238" s="20" t="str">
        <f>$B238&amp;CHAR(10)&amp;ConvertCode(OpCode!K238,OpCode!I238,OpCode!H238,"")</f>
        <v>procedure TCPU_6502.op_CPX_abs;
var 
  t: iSize8;
  MA: iSize16;
  MV: iSize8;
  b1: iSize8;
  b2: iSize8;
begin
  b1:= ReadMem(PC);
  PC:= (PC+1) and $FFFF;
  b2:= ReadMem(PC);
  PC:= (PC+1) and $FFFF;
  MA:= b1 + b2 shl 8;
  MV:= ReadMem(MA);
  t:= X - MV;
  F[Flag_Z]:= (t = 0);
  F[Flag_N]:= (t and $80) = $80;
  F[Flag_C]:= (t and $100) = $100;  
  inc(cycles, 4);
end;</v>
      </c>
      <c r="D238" s="19" t="str">
        <f>IF(OpCode!B238="Y","(*U*)","(* *)")&amp;
" with OpCodes[$"&amp;OpCode!A238&amp;"] do begin" &amp;
" code:= @"&amp;A238&amp;";"&amp;
" inst:= '"&amp;OpCode!C238&amp;"';"&amp;
" fmt:= '"&amp;OpCode!C238&amp;IF(OpCode!D238&lt;&gt;"","'+#9+'"&amp;convertFormat(OpCode!D238),"")&amp;"'"&amp;";"&amp;
" group:= Egroup."&amp;OpCode!E238&amp;";"&amp;
" mode:= Emode."&amp;OpCode!F238&amp;";"&amp;
" len:= "&amp;OpCode!G238&amp;";"&amp;
" cycle:= ["&amp;SUBSTITUTE(OpCode!H238,"|",",")&amp;"];"&amp;
" end;"</f>
        <v>(* *) with OpCodes[$EC] do begin code:= @op_CPX_abs; inst:= 'CPX'; fmt:= 'CPX'+#9+'$%.4x'; group:= Egroup.arith; mode:= Emode.abs; len:= 3; cycle:= [4]; end;</v>
      </c>
    </row>
    <row r="239" spans="1:4" ht="78.75" x14ac:dyDescent="0.25">
      <c r="A239" s="18" t="str">
        <f>"op"&amp;"_"&amp;OpCode!C239&amp;ConvertFormat2(OpCode!D239)</f>
        <v>op_SBC_abs</v>
      </c>
      <c r="B239" s="19" t="str">
        <f t="shared" si="3"/>
        <v>procedure TCPU_6502.op_SBC_abs;</v>
      </c>
      <c r="C239" s="20" t="str">
        <f>$B239&amp;CHAR(10)&amp;ConvertCode(OpCode!K239,OpCode!I239,OpCode!H239,"")</f>
        <v>procedure TCPU_6502.op_SBC_abs;
var 
  t: iSize8;
  MA: iSize16;
  MV: iSize8;
  b1: iSize8;
  b2: iSize8;
begin
  b1:= ReadMem(PC);
  PC:= (PC+1) and $FFFF;
  b2:= ReadMem(PC);
  PC:= (PC+1) and $FFFF;
  MA:= b1 + b2 shl 8;
  MV:= ReadMem(MA);
  t:= A - MV - bool_bit[F[Flag_C]];
  A:= (t and $FF);
  F[Flag_V]:= (t&gt;$FF);
  F[Flag_Z]:= (t = 0);
  F[Flag_N]:= (t and $80) = $80;
  F[Flag_C]:= (t and $100) = $100;  
  inc(cycles, 4);
end;</v>
      </c>
      <c r="D239" s="19" t="str">
        <f>IF(OpCode!B239="Y","(*U*)","(* *)")&amp;
" with OpCodes[$"&amp;OpCode!A239&amp;"] do begin" &amp;
" code:= @"&amp;A239&amp;";"&amp;
" inst:= '"&amp;OpCode!C239&amp;"';"&amp;
" fmt:= '"&amp;OpCode!C239&amp;IF(OpCode!D239&lt;&gt;"","'+#9+'"&amp;convertFormat(OpCode!D239),"")&amp;"'"&amp;";"&amp;
" group:= Egroup."&amp;OpCode!E239&amp;";"&amp;
" mode:= Emode."&amp;OpCode!F239&amp;";"&amp;
" len:= "&amp;OpCode!G239&amp;";"&amp;
" cycle:= ["&amp;SUBSTITUTE(OpCode!H239,"|",",")&amp;"];"&amp;
" end;"</f>
        <v>(* *) with OpCodes[$ED] do begin code:= @op_SBC_abs; inst:= 'SBC'; fmt:= 'SBC'+#9+'$%.4x'; group:= Egroup.arith; mode:= Emode.abs; len:= 3; cycle:= [4]; end;</v>
      </c>
    </row>
    <row r="240" spans="1:4" ht="78.75" x14ac:dyDescent="0.25">
      <c r="A240" s="18" t="str">
        <f>"op"&amp;"_"&amp;OpCode!C240&amp;ConvertFormat2(OpCode!D240)</f>
        <v>op_INC_abs</v>
      </c>
      <c r="B240" s="19" t="str">
        <f t="shared" si="3"/>
        <v>procedure TCPU_6502.op_INC_abs;</v>
      </c>
      <c r="C240" s="20" t="str">
        <f>$B240&amp;CHAR(10)&amp;ConvertCode(OpCode!K240,OpCode!I240,OpCode!H240,"")</f>
        <v>procedure TCPU_6502.op_INC_abs;
var 
  t: iSize8;
  MA: iSize16;
  MV: iSize8;
  b1: iSize8;
  b2: iSize8;
begin
  b1:= ReadMem(PC);
  PC:= (PC+1) and $FFFF;
  b2:= ReadMem(PC);
  PC:= (PC+1) and $FFFF;
  MA:= b1 + b2 shl 8;
  MV:= ReadMem(MA);
  t:= MV + 1;
  WriteMem(MA, t and $FF);
  F[Flag_Z]:= (t = 0);
  F[Flag_N]:= (t and $80) = $80;
  inc(cycles, 6);
end;</v>
      </c>
      <c r="D240" s="19" t="str">
        <f>IF(OpCode!B240="Y","(*U*)","(* *)")&amp;
" with OpCodes[$"&amp;OpCode!A240&amp;"] do begin" &amp;
" code:= @"&amp;A240&amp;";"&amp;
" inst:= '"&amp;OpCode!C240&amp;"';"&amp;
" fmt:= '"&amp;OpCode!C240&amp;IF(OpCode!D240&lt;&gt;"","'+#9+'"&amp;convertFormat(OpCode!D240),"")&amp;"'"&amp;";"&amp;
" group:= Egroup."&amp;OpCode!E240&amp;";"&amp;
" mode:= Emode."&amp;OpCode!F240&amp;";"&amp;
" len:= "&amp;OpCode!G240&amp;";"&amp;
" cycle:= ["&amp;SUBSTITUTE(OpCode!H240,"|",",")&amp;"];"&amp;
" end;"</f>
        <v>(* *) with OpCodes[$EE] do begin code:= @op_INC_abs; inst:= 'INC'; fmt:= 'INC'+#9+'$%.4x'; group:= Egroup.arith; mode:= Emode.abs; len:= 3; cycle:= [6]; end;</v>
      </c>
    </row>
    <row r="241" spans="1:4" ht="78.75" x14ac:dyDescent="0.25">
      <c r="A241" s="18" t="str">
        <f>"op"&amp;"_"&amp;OpCode!C241&amp;ConvertFormat2(OpCode!D241)</f>
        <v>op_BBS6_dp,rel8</v>
      </c>
      <c r="B241" s="19" t="str">
        <f t="shared" si="3"/>
        <v>procedure TCPU_6502.op_BBS6_dp,rel8;</v>
      </c>
      <c r="C241" s="20" t="str">
        <f>$B241&amp;CHAR(10)&amp;ConvertCode(OpCode!K241,OpCode!I241,OpCode!H241,"")</f>
        <v>procedure TCPU_6502.op_BBS6_dp,rel8;
begin
  Branch on Bit Set. Tests a specific bit of a byte held on zero page and causes a branch of the bit is set (1);
  inc(cycles, 2|3);
end;</v>
      </c>
      <c r="D241" s="19" t="str">
        <f>IF(OpCode!B241="Y","(*U*)","(* *)")&amp;
" with OpCodes[$"&amp;OpCode!A241&amp;"] do begin" &amp;
" code:= @"&amp;A241&amp;";"&amp;
" inst:= '"&amp;OpCode!C241&amp;"';"&amp;
" fmt:= '"&amp;OpCode!C241&amp;IF(OpCode!D241&lt;&gt;"","'+#9+'"&amp;convertFormat(OpCode!D241),"")&amp;"'"&amp;";"&amp;
" group:= Egroup."&amp;OpCode!E241&amp;";"&amp;
" mode:= Emode."&amp;OpCode!F241&amp;";"&amp;
" len:= "&amp;OpCode!G241&amp;";"&amp;
" cycle:= ["&amp;SUBSTITUTE(OpCode!H241,"|",",")&amp;"];"&amp;
" end;"</f>
        <v>(* *) with OpCodes[$EF] do begin code:= @op_BBS6_dp,rel8; inst:= 'BBS6'; fmt:= 'BBS6'+#9+'$%.2x,%d'; group:= Egroup.branch; mode:= Emode.dp_rel; len:= 3; cycle:= [2,3]; end;</v>
      </c>
    </row>
    <row r="242" spans="1:4" ht="78.75" x14ac:dyDescent="0.25">
      <c r="A242" s="18" t="str">
        <f>"op"&amp;"_"&amp;OpCode!C242&amp;ConvertFormat2(OpCode!D242)</f>
        <v>op_BEQ_rel8</v>
      </c>
      <c r="B242" s="19" t="str">
        <f t="shared" si="3"/>
        <v>procedure TCPU_6502.op_BEQ_rel8;</v>
      </c>
      <c r="C242" s="20" t="str">
        <f>$B242&amp;CHAR(10)&amp;ConvertCode(OpCode!K242,OpCode!I242,OpCode!H242,"")</f>
        <v>procedure TCPU_6502.op_BEQ_rel8;
var 
  b1: iSize8;
begin
  b1:= ReadMem(PC);
  PC:= (PC+1) and $FFFF;
  if Z  then PC:= ((PC + b1) and $FF);
  inc(cycles, 2|3);
end;</v>
      </c>
      <c r="D242" s="19" t="str">
        <f>IF(OpCode!B242="Y","(*U*)","(* *)")&amp;
" with OpCodes[$"&amp;OpCode!A242&amp;"] do begin" &amp;
" code:= @"&amp;A242&amp;";"&amp;
" inst:= '"&amp;OpCode!C242&amp;"';"&amp;
" fmt:= '"&amp;OpCode!C242&amp;IF(OpCode!D242&lt;&gt;"","'+#9+'"&amp;convertFormat(OpCode!D242),"")&amp;"'"&amp;";"&amp;
" group:= Egroup."&amp;OpCode!E242&amp;";"&amp;
" mode:= Emode."&amp;OpCode!F242&amp;";"&amp;
" len:= "&amp;OpCode!G242&amp;";"&amp;
" cycle:= ["&amp;SUBSTITUTE(OpCode!H242,"|",",")&amp;"];"&amp;
" end;"</f>
        <v>(* *) with OpCodes[$F0] do begin code:= @op_BEQ_rel8; inst:= 'BEQ'; fmt:= 'BEQ'+#9+'%d'; group:= Egroup.branch; mode:= Emode.rel; len:= 2; cycle:= [2,3]; end;</v>
      </c>
    </row>
    <row r="243" spans="1:4" ht="78.75" x14ac:dyDescent="0.25">
      <c r="A243" s="18" t="str">
        <f>"op"&amp;"_"&amp;OpCode!C243&amp;ConvertFormat2(OpCode!D243)</f>
        <v>op_SBC_dp_ind_idY</v>
      </c>
      <c r="B243" s="19" t="str">
        <f t="shared" si="3"/>
        <v>procedure TCPU_6502.op_SBC_dp_ind_idY;</v>
      </c>
      <c r="C243" s="20" t="str">
        <f>$B243&amp;CHAR(10)&amp;ConvertCode(OpCode!K243,OpCode!I243,OpCode!H243,"")</f>
        <v>procedure TCPU_6502.op_SBC_dp_ind_idY;
var 
  t: iSize8;
  MA: iSize16;
  MV: iSize8;
  b1: iSize8;
begin
  b1:= ReadMem(PC);
  PC:= (PC+1) and $FFFF;
  MA:= b1;
  MA:= ReadMem(MA)+256*ReadMem((MA+1) and $FFFF) + Y;
  MV:= ReadMem(MA);
  t:= A - MV - bool_bit[F[Flag_C]];
  A:= (t and $FF);
  F[Flag_V]:= (t&gt;$FF);
  F[Flag_Z]:= (t = 0);
  F[Flag_N]:= (t and $80) = $80;
  F[Flag_C]:= (t and $100) = $100;  
  inc(cycles, 5);
end;</v>
      </c>
      <c r="D243" s="19" t="str">
        <f>IF(OpCode!B243="Y","(*U*)","(* *)")&amp;
" with OpCodes[$"&amp;OpCode!A243&amp;"] do begin" &amp;
" code:= @"&amp;A243&amp;";"&amp;
" inst:= '"&amp;OpCode!C243&amp;"';"&amp;
" fmt:= '"&amp;OpCode!C243&amp;IF(OpCode!D243&lt;&gt;"","'+#9+'"&amp;convertFormat(OpCode!D243),"")&amp;"'"&amp;";"&amp;
" group:= Egroup."&amp;OpCode!E243&amp;";"&amp;
" mode:= Emode."&amp;OpCode!F243&amp;";"&amp;
" len:= "&amp;OpCode!G243&amp;";"&amp;
" cycle:= ["&amp;SUBSTITUTE(OpCode!H243,"|",",")&amp;"];"&amp;
" end;"</f>
        <v>(* *) with OpCodes[$F1] do begin code:= @op_SBC_dp_ind_idY; inst:= 'SBC'; fmt:= 'SBC'+#9+'($%.2x),Y'; group:= Egroup.arith; mode:= Emode.dp_ind_idx; len:= 2; cycle:= [5]; end;</v>
      </c>
    </row>
    <row r="244" spans="1:4" ht="78.75" x14ac:dyDescent="0.25">
      <c r="A244" s="18" t="str">
        <f>"op"&amp;"_"&amp;OpCode!C244&amp;ConvertFormat2(OpCode!D244)</f>
        <v>op_NOP</v>
      </c>
      <c r="B244" s="19" t="str">
        <f t="shared" si="3"/>
        <v>procedure TCPU_6502.op_NOP;</v>
      </c>
      <c r="C244" s="20" t="str">
        <f>$B244&amp;CHAR(10)&amp;ConvertCode(OpCode!K244,OpCode!I244,OpCode!H244,"")</f>
        <v>procedure TCPU_6502.op_NOP;
begin
  No operation;
  inc(cycles, 2);
end;</v>
      </c>
      <c r="D244" s="19" t="str">
        <f>IF(OpCode!B244="Y","(*U*)","(* *)")&amp;
" with OpCodes[$"&amp;OpCode!A244&amp;"] do begin" &amp;
" code:= @"&amp;A244&amp;";"&amp;
" inst:= '"&amp;OpCode!C244&amp;"';"&amp;
" fmt:= '"&amp;OpCode!C244&amp;IF(OpCode!D244&lt;&gt;"","'+#9+'"&amp;convertFormat(OpCode!D244),"")&amp;"'"&amp;";"&amp;
" group:= Egroup."&amp;OpCode!E244&amp;";"&amp;
" mode:= Emode."&amp;OpCode!F244&amp;";"&amp;
" len:= "&amp;OpCode!G244&amp;";"&amp;
" cycle:= ["&amp;SUBSTITUTE(OpCode!H244,"|",",")&amp;"];"&amp;
" end;"</f>
        <v>(* *) with OpCodes[$F2] do begin code:= @op_NOP; inst:= 'NOP'; fmt:= 'NOP'; group:= Egroup.control; mode:= Emode.imp; len:= 1; cycle:= [2]; end;</v>
      </c>
    </row>
    <row r="245" spans="1:4" ht="78.75" x14ac:dyDescent="0.25">
      <c r="A245" s="18" t="str">
        <f>"op"&amp;"_"&amp;OpCode!C245&amp;ConvertFormat2(OpCode!D245)</f>
        <v>op_NOP</v>
      </c>
      <c r="B245" s="19" t="str">
        <f t="shared" si="3"/>
        <v>procedure TCPU_6502.op_NOP;</v>
      </c>
      <c r="C245" s="20" t="str">
        <f>$B245&amp;CHAR(10)&amp;ConvertCode(OpCode!K245,OpCode!I245,OpCode!H245,"")</f>
        <v>procedure TCPU_6502.op_NOP;
begin
  No operation;
  inc(cycles, 2);
end;</v>
      </c>
      <c r="D245" s="19" t="str">
        <f>IF(OpCode!B245="Y","(*U*)","(* *)")&amp;
" with OpCodes[$"&amp;OpCode!A245&amp;"] do begin" &amp;
" code:= @"&amp;A245&amp;";"&amp;
" inst:= '"&amp;OpCode!C245&amp;"';"&amp;
" fmt:= '"&amp;OpCode!C245&amp;IF(OpCode!D245&lt;&gt;"","'+#9+'"&amp;convertFormat(OpCode!D245),"")&amp;"'"&amp;";"&amp;
" group:= Egroup."&amp;OpCode!E245&amp;";"&amp;
" mode:= Emode."&amp;OpCode!F245&amp;";"&amp;
" len:= "&amp;OpCode!G245&amp;";"&amp;
" cycle:= ["&amp;SUBSTITUTE(OpCode!H245,"|",",")&amp;"];"&amp;
" end;"</f>
        <v>(* *) with OpCodes[$F3] do begin code:= @op_NOP; inst:= 'NOP'; fmt:= 'NOP'; group:= Egroup.control; mode:= Emode.imp; len:= 1; cycle:= [2]; end;</v>
      </c>
    </row>
    <row r="246" spans="1:4" ht="78.75" x14ac:dyDescent="0.25">
      <c r="A246" s="18" t="str">
        <f>"op"&amp;"_"&amp;OpCode!C246&amp;ConvertFormat2(OpCode!D246)</f>
        <v>op_NOP</v>
      </c>
      <c r="B246" s="19" t="str">
        <f t="shared" si="3"/>
        <v>procedure TCPU_6502.op_NOP;</v>
      </c>
      <c r="C246" s="20" t="str">
        <f>$B246&amp;CHAR(10)&amp;ConvertCode(OpCode!K246,OpCode!I246,OpCode!H246,"")</f>
        <v>procedure TCPU_6502.op_NOP;
begin
  No operation;
  inc(cycles, 2);
end;</v>
      </c>
      <c r="D246" s="19" t="str">
        <f>IF(OpCode!B246="Y","(*U*)","(* *)")&amp;
" with OpCodes[$"&amp;OpCode!A246&amp;"] do begin" &amp;
" code:= @"&amp;A246&amp;";"&amp;
" inst:= '"&amp;OpCode!C246&amp;"';"&amp;
" fmt:= '"&amp;OpCode!C246&amp;IF(OpCode!D246&lt;&gt;"","'+#9+'"&amp;convertFormat(OpCode!D246),"")&amp;"'"&amp;";"&amp;
" group:= Egroup."&amp;OpCode!E246&amp;";"&amp;
" mode:= Emode."&amp;OpCode!F246&amp;";"&amp;
" len:= "&amp;OpCode!G246&amp;";"&amp;
" cycle:= ["&amp;SUBSTITUTE(OpCode!H246,"|",",")&amp;"];"&amp;
" end;"</f>
        <v>(* *) with OpCodes[$F4] do begin code:= @op_NOP; inst:= 'NOP'; fmt:= 'NOP'; group:= Egroup.control; mode:= Emode.imp; len:= 1; cycle:= [2]; end;</v>
      </c>
    </row>
    <row r="247" spans="1:4" ht="78.75" x14ac:dyDescent="0.25">
      <c r="A247" s="18" t="str">
        <f>"op"&amp;"_"&amp;OpCode!C247&amp;ConvertFormat2(OpCode!D247)</f>
        <v>op_SBC_dp_idX</v>
      </c>
      <c r="B247" s="19" t="str">
        <f t="shared" si="3"/>
        <v>procedure TCPU_6502.op_SBC_dp_idX;</v>
      </c>
      <c r="C247" s="20" t="str">
        <f>$B247&amp;CHAR(10)&amp;ConvertCode(OpCode!K247,OpCode!I247,OpCode!H247,"")</f>
        <v>procedure TCPU_6502.op_SBC_dp_idX;
var 
  t: iSize8;
  MA: iSize16;
  MV: iSize8;
  b1: iSize8;
begin
  b1:= ReadMem(PC);
  PC:= (PC+1) and $FFFF;
  MA:= ((b1 + X) and $FFFF);
  MV:= ReadMem(MA);
  t:= A - MV - bool_bit[F[Flag_C]];
  A:= (t and $FF);
  F[Flag_V]:= (t&gt;$FF);
  F[Flag_Z]:= (t = 0);
  F[Flag_N]:= (t and $80) = $80;
  F[Flag_C]:= (t and $100) = $100;  
  inc(cycles, 4);
end;</v>
      </c>
      <c r="D247" s="19" t="str">
        <f>IF(OpCode!B247="Y","(*U*)","(* *)")&amp;
" with OpCodes[$"&amp;OpCode!A247&amp;"] do begin" &amp;
" code:= @"&amp;A247&amp;";"&amp;
" inst:= '"&amp;OpCode!C247&amp;"';"&amp;
" fmt:= '"&amp;OpCode!C247&amp;IF(OpCode!D247&lt;&gt;"","'+#9+'"&amp;convertFormat(OpCode!D247),"")&amp;"'"&amp;";"&amp;
" group:= Egroup."&amp;OpCode!E247&amp;";"&amp;
" mode:= Emode."&amp;OpCode!F247&amp;";"&amp;
" len:= "&amp;OpCode!G247&amp;";"&amp;
" cycle:= ["&amp;SUBSTITUTE(OpCode!H247,"|",",")&amp;"];"&amp;
" end;"</f>
        <v>(* *) with OpCodes[$F5] do begin code:= @op_SBC_dp_idX; inst:= 'SBC'; fmt:= 'SBC'+#9+'$%.2x,X'; group:= Egroup.arith; mode:= Emode.dp_idx; len:= 2; cycle:= [4]; end;</v>
      </c>
    </row>
    <row r="248" spans="1:4" ht="78.75" x14ac:dyDescent="0.25">
      <c r="A248" s="18" t="str">
        <f>"op"&amp;"_"&amp;OpCode!C248&amp;ConvertFormat2(OpCode!D248)</f>
        <v>op_INC_dp_idX</v>
      </c>
      <c r="B248" s="19" t="str">
        <f t="shared" si="3"/>
        <v>procedure TCPU_6502.op_INC_dp_idX;</v>
      </c>
      <c r="C248" s="20" t="str">
        <f>$B248&amp;CHAR(10)&amp;ConvertCode(OpCode!K248,OpCode!I248,OpCode!H248,"")</f>
        <v>procedure TCPU_6502.op_INC_dp_idX;
var 
  t: iSize8;
  MA: iSize16;
  MV: iSize8;
  b1: iSize8;
begin
  b1:= ReadMem(PC);
  PC:= (PC+1) and $FFFF;
  MA:= ((b1 + X) and $FFFF);
  MV:= ReadMem(MA);
  t:= MV + 1;
  WriteMem(MA, t and $FF);
  F[Flag_Z]:= (t = 0);
  F[Flag_N]:= (t and $80) = $80;
  inc(cycles, 6);
end;</v>
      </c>
      <c r="D248" s="19" t="str">
        <f>IF(OpCode!B248="Y","(*U*)","(* *)")&amp;
" with OpCodes[$"&amp;OpCode!A248&amp;"] do begin" &amp;
" code:= @"&amp;A248&amp;";"&amp;
" inst:= '"&amp;OpCode!C248&amp;"';"&amp;
" fmt:= '"&amp;OpCode!C248&amp;IF(OpCode!D248&lt;&gt;"","'+#9+'"&amp;convertFormat(OpCode!D248),"")&amp;"'"&amp;";"&amp;
" group:= Egroup."&amp;OpCode!E248&amp;";"&amp;
" mode:= Emode."&amp;OpCode!F248&amp;";"&amp;
" len:= "&amp;OpCode!G248&amp;";"&amp;
" cycle:= ["&amp;SUBSTITUTE(OpCode!H248,"|",",")&amp;"];"&amp;
" end;"</f>
        <v>(* *) with OpCodes[$F6] do begin code:= @op_INC_dp_idX; inst:= 'INC'; fmt:= 'INC'+#9+'$%.2x,X'; group:= Egroup.arith; mode:= Emode.dp_idx; len:= 2; cycle:= [6]; end;</v>
      </c>
    </row>
    <row r="249" spans="1:4" ht="78.75" x14ac:dyDescent="0.25">
      <c r="A249" s="18" t="str">
        <f>"op"&amp;"_"&amp;OpCode!C249&amp;ConvertFormat2(OpCode!D249)</f>
        <v>op_SMB7_dp</v>
      </c>
      <c r="B249" s="19" t="str">
        <f t="shared" si="3"/>
        <v>procedure TCPU_6502.op_SMB7_dp;</v>
      </c>
      <c r="C249" s="20" t="str">
        <f>$B249&amp;CHAR(10)&amp;ConvertCode(OpCode!K249,OpCode!I249,OpCode!H249,"")</f>
        <v>procedure TCPU_6502.op_SMB7_dp;
begin
  Set Memory Bit. Sets a specific bit of a byte held on zero page.;
  F[Flag_Z]:= (t = 0);
  inc(cycles, 5);
end;</v>
      </c>
      <c r="D249" s="19" t="str">
        <f>IF(OpCode!B249="Y","(*U*)","(* *)")&amp;
" with OpCodes[$"&amp;OpCode!A249&amp;"] do begin" &amp;
" code:= @"&amp;A249&amp;";"&amp;
" inst:= '"&amp;OpCode!C249&amp;"';"&amp;
" fmt:= '"&amp;OpCode!C249&amp;IF(OpCode!D249&lt;&gt;"","'+#9+'"&amp;convertFormat(OpCode!D249),"")&amp;"'"&amp;";"&amp;
" group:= Egroup."&amp;OpCode!E249&amp;";"&amp;
" mode:= Emode."&amp;OpCode!F249&amp;";"&amp;
" len:= "&amp;OpCode!G249&amp;";"&amp;
" cycle:= ["&amp;SUBSTITUTE(OpCode!H249,"|",",")&amp;"];"&amp;
" end;"</f>
        <v>(* *) with OpCodes[$F7] do begin code:= @op_SMB7_dp; inst:= 'SMB7'; fmt:= 'SMB7'+#9+'$%.2x'; group:= Egroup.logic; mode:= Emode.dp; len:= 2; cycle:= [5]; end;</v>
      </c>
    </row>
    <row r="250" spans="1:4" ht="78.75" x14ac:dyDescent="0.25">
      <c r="A250" s="18" t="str">
        <f>"op"&amp;"_"&amp;OpCode!C250&amp;ConvertFormat2(OpCode!D250)</f>
        <v>op_SED</v>
      </c>
      <c r="B250" s="19" t="str">
        <f t="shared" si="3"/>
        <v>procedure TCPU_6502.op_SED;</v>
      </c>
      <c r="C250" s="20" t="str">
        <f>$B250&amp;CHAR(10)&amp;ConvertCode(OpCode!K250,OpCode!I250,OpCode!H250,"")</f>
        <v>procedure TCPU_6502.op_SED;
begin
  d:= ((1) and $FF);
  F[Flag_d]:= true;
  inc(cycles, 2);
end;</v>
      </c>
      <c r="D250" s="19" t="str">
        <f>IF(OpCode!B250="Y","(*U*)","(* *)")&amp;
" with OpCodes[$"&amp;OpCode!A250&amp;"] do begin" &amp;
" code:= @"&amp;A250&amp;";"&amp;
" inst:= '"&amp;OpCode!C250&amp;"';"&amp;
" fmt:= '"&amp;OpCode!C250&amp;IF(OpCode!D250&lt;&gt;"","'+#9+'"&amp;convertFormat(OpCode!D250),"")&amp;"'"&amp;";"&amp;
" group:= Egroup."&amp;OpCode!E250&amp;";"&amp;
" mode:= Emode."&amp;OpCode!F250&amp;";"&amp;
" len:= "&amp;OpCode!G250&amp;";"&amp;
" cycle:= ["&amp;SUBSTITUTE(OpCode!H250,"|",",")&amp;"];"&amp;
" end;"</f>
        <v>(* *) with OpCodes[$F8] do begin code:= @op_SED; inst:= 'SED'; fmt:= 'SED'; group:= Egroup.control; mode:= Emode.imp; len:= 1; cycle:= [2]; end;</v>
      </c>
    </row>
    <row r="251" spans="1:4" ht="78.75" x14ac:dyDescent="0.25">
      <c r="A251" s="18" t="str">
        <f>"op"&amp;"_"&amp;OpCode!C251&amp;ConvertFormat2(OpCode!D251)</f>
        <v>op_SBC_abs_idY</v>
      </c>
      <c r="B251" s="19" t="str">
        <f t="shared" si="3"/>
        <v>procedure TCPU_6502.op_SBC_abs_idY;</v>
      </c>
      <c r="C251" s="20" t="str">
        <f>$B251&amp;CHAR(10)&amp;ConvertCode(OpCode!K251,OpCode!I251,OpCode!H251,"")</f>
        <v>procedure TCPU_6502.op_SBC_abs_idY;
var 
  t: iSize8;
  MA: iSize16;
  MV: iSize8;
  b1: iSize8;
  b2: iSize8;
begin
  b1:= ReadMem(PC);
  PC:= (PC+1) and $FFFF;
  b2:= ReadMem(PC);
  PC:= (PC+1) and $FFFF;
  MA:= ((b1 + b2 shl 8 + Y) and $FFFF);
  MV:= ReadMem(MA);
  t:= A - MV - bool_bit[F[Flag_C]];
  A:= (t and $FF);
  F[Flag_V]:= (t&gt;$FF);
  F[Flag_Z]:= (t = 0);
  F[Flag_N]:= (t and $80) = $80;
  F[Flag_C]:= (t and $100) = $100;  
  inc(cycles, 4);
end;</v>
      </c>
      <c r="D251" s="19" t="str">
        <f>IF(OpCode!B251="Y","(*U*)","(* *)")&amp;
" with OpCodes[$"&amp;OpCode!A251&amp;"] do begin" &amp;
" code:= @"&amp;A251&amp;";"&amp;
" inst:= '"&amp;OpCode!C251&amp;"';"&amp;
" fmt:= '"&amp;OpCode!C251&amp;IF(OpCode!D251&lt;&gt;"","'+#9+'"&amp;convertFormat(OpCode!D251),"")&amp;"'"&amp;";"&amp;
" group:= Egroup."&amp;OpCode!E251&amp;";"&amp;
" mode:= Emode."&amp;OpCode!F251&amp;";"&amp;
" len:= "&amp;OpCode!G251&amp;";"&amp;
" cycle:= ["&amp;SUBSTITUTE(OpCode!H251,"|",",")&amp;"];"&amp;
" end;"</f>
        <v>(* *) with OpCodes[$F9] do begin code:= @op_SBC_abs_idY; inst:= 'SBC'; fmt:= 'SBC'+#9+'$%.4x,Y'; group:= Egroup.arith; mode:= Emode.abs_idx; len:= 3; cycle:= [4]; end;</v>
      </c>
    </row>
    <row r="252" spans="1:4" ht="78.75" x14ac:dyDescent="0.25">
      <c r="A252" s="18" t="str">
        <f>"op"&amp;"_"&amp;OpCode!C252&amp;ConvertFormat2(OpCode!D252)</f>
        <v>op_PLX</v>
      </c>
      <c r="B252" s="19" t="str">
        <f t="shared" si="3"/>
        <v>procedure TCPU_6502.op_PLX;</v>
      </c>
      <c r="C252" s="20" t="str">
        <f>$B252&amp;CHAR(10)&amp;ConvertCode(OpCode!K252,OpCode!I252,OpCode!H252,"")</f>
        <v>procedure TCPU_6502.op_PLX;
begin
  X:= ReadMem($100+SP);
  SP:= (SP + 1) and $FF; 
  F[Flag_Z]:= (t = 0);
  F[Flag_N]:= (t and $80) = $80;
  inc(cycles, 4);
end;</v>
      </c>
      <c r="D252" s="19" t="str">
        <f>IF(OpCode!B252="Y","(*U*)","(* *)")&amp;
" with OpCodes[$"&amp;OpCode!A252&amp;"] do begin" &amp;
" code:= @"&amp;A252&amp;";"&amp;
" inst:= '"&amp;OpCode!C252&amp;"';"&amp;
" fmt:= '"&amp;OpCode!C252&amp;IF(OpCode!D252&lt;&gt;"","'+#9+'"&amp;convertFormat(OpCode!D252),"")&amp;"'"&amp;";"&amp;
" group:= Egroup."&amp;OpCode!E252&amp;";"&amp;
" mode:= Emode."&amp;OpCode!F252&amp;";"&amp;
" len:= "&amp;OpCode!G252&amp;";"&amp;
" cycle:= ["&amp;SUBSTITUTE(OpCode!H252,"|",",")&amp;"];"&amp;
" end;"</f>
        <v>(* *) with OpCodes[$FA] do begin code:= @op_PLX; inst:= 'PLX'; fmt:= 'PLX'; group:= Egroup.stack; mode:= Emode.imp; len:= 1; cycle:= [4]; end;</v>
      </c>
    </row>
    <row r="253" spans="1:4" ht="78.75" x14ac:dyDescent="0.25">
      <c r="A253" s="18" t="str">
        <f>"op"&amp;"_"&amp;OpCode!C253&amp;ConvertFormat2(OpCode!D253)</f>
        <v>op_NOP</v>
      </c>
      <c r="B253" s="19" t="str">
        <f t="shared" si="3"/>
        <v>procedure TCPU_6502.op_NOP;</v>
      </c>
      <c r="C253" s="20" t="str">
        <f>$B253&amp;CHAR(10)&amp;ConvertCode(OpCode!K253,OpCode!I253,OpCode!H253,"")</f>
        <v>procedure TCPU_6502.op_NOP;
begin
  No operation;
  inc(cycles, 2);
end;</v>
      </c>
      <c r="D253" s="19" t="str">
        <f>IF(OpCode!B253="Y","(*U*)","(* *)")&amp;
" with OpCodes[$"&amp;OpCode!A253&amp;"] do begin" &amp;
" code:= @"&amp;A253&amp;";"&amp;
" inst:= '"&amp;OpCode!C253&amp;"';"&amp;
" fmt:= '"&amp;OpCode!C253&amp;IF(OpCode!D253&lt;&gt;"","'+#9+'"&amp;convertFormat(OpCode!D253),"")&amp;"'"&amp;";"&amp;
" group:= Egroup."&amp;OpCode!E253&amp;";"&amp;
" mode:= Emode."&amp;OpCode!F253&amp;";"&amp;
" len:= "&amp;OpCode!G253&amp;";"&amp;
" cycle:= ["&amp;SUBSTITUTE(OpCode!H253,"|",",")&amp;"];"&amp;
" end;"</f>
        <v>(* *) with OpCodes[$FB] do begin code:= @op_NOP; inst:= 'NOP'; fmt:= 'NOP'; group:= Egroup.control; mode:= Emode.imp; len:= 1; cycle:= [2]; end;</v>
      </c>
    </row>
    <row r="254" spans="1:4" ht="78.75" x14ac:dyDescent="0.25">
      <c r="A254" s="18" t="str">
        <f>"op"&amp;"_"&amp;OpCode!C254&amp;ConvertFormat2(OpCode!D254)</f>
        <v>op_SBC_dp_ind</v>
      </c>
      <c r="B254" s="19" t="str">
        <f t="shared" si="3"/>
        <v>procedure TCPU_6502.op_SBC_dp_ind;</v>
      </c>
      <c r="C254" s="20" t="str">
        <f>$B254&amp;CHAR(10)&amp;ConvertCode(OpCode!K254,OpCode!I254,OpCode!H254,"")</f>
        <v>procedure TCPU_6502.op_SBC_dp_ind;
var 
  t: iSize8;
  MA: iSize16;
  MV: iSize8;
  b1: iSize8;
  b2: iSize8;
begin
  b1:= ReadMem(PC);
  PC:= (PC+1) and $FFFF;
  b2:= ReadMem(PC);
  PC:= (PC+1) and $FFFF;
  MA:= b1 + b2 shl 8;
  MV:= ReadMem(MA);
  t:= A - MV - bool_bit[F[Flag_C]];
  A:= (t and $FF);
  F[Flag_V]:= (t&gt;$FF);
  F[Flag_Z]:= (t = 0);
  F[Flag_N]:= (t and $80) = $80;
  F[Flag_C]:= (t and $100) = $100;  
  inc(cycles, 5);
end;</v>
      </c>
      <c r="D254" s="19" t="str">
        <f>IF(OpCode!B254="Y","(*U*)","(* *)")&amp;
" with OpCodes[$"&amp;OpCode!A254&amp;"] do begin" &amp;
" code:= @"&amp;A254&amp;";"&amp;
" inst:= '"&amp;OpCode!C254&amp;"';"&amp;
" fmt:= '"&amp;OpCode!C254&amp;IF(OpCode!D254&lt;&gt;"","'+#9+'"&amp;convertFormat(OpCode!D254),"")&amp;"'"&amp;";"&amp;
" group:= Egroup."&amp;OpCode!E254&amp;";"&amp;
" mode:= Emode."&amp;OpCode!F254&amp;";"&amp;
" len:= "&amp;OpCode!G254&amp;";"&amp;
" cycle:= ["&amp;SUBSTITUTE(OpCode!H254,"|",",")&amp;"];"&amp;
" end;"</f>
        <v>(* *) with OpCodes[$FC] do begin code:= @op_SBC_dp_ind; inst:= 'SBC'; fmt:= 'SBC'+#9+'($%.2x)'; group:= Egroup.arith; mode:= Emode.dp_ind; len:= 2; cycle:= [5]; end;</v>
      </c>
    </row>
    <row r="255" spans="1:4" ht="78.75" x14ac:dyDescent="0.25">
      <c r="A255" s="18" t="str">
        <f>"op"&amp;"_"&amp;OpCode!C255&amp;ConvertFormat2(OpCode!D255)</f>
        <v>op_SBC_abs_idX</v>
      </c>
      <c r="B255" s="19" t="str">
        <f t="shared" si="3"/>
        <v>procedure TCPU_6502.op_SBC_abs_idX;</v>
      </c>
      <c r="C255" s="20" t="str">
        <f>$B255&amp;CHAR(10)&amp;ConvertCode(OpCode!K255,OpCode!I255,OpCode!H255,"")</f>
        <v>procedure TCPU_6502.op_SBC_abs_idX;
var 
  t: iSize8;
  MA: iSize16;
  MV: iSize8;
  b1: iSize8;
  b2: iSize8;
begin
  b1:= ReadMem(PC);
  PC:= (PC+1) and $FFFF;
  b2:= ReadMem(PC);
  PC:= (PC+1) and $FFFF;
  MA:= ((b1 + b2 shl 8 + X) and $FFFF);
  MV:= ReadMem(MA);
  t:= A - MV - bool_bit[F[Flag_C]];
  A:= (t and $FF);
  F[Flag_V]:= (t&gt;$FF);
  F[Flag_Z]:= (t = 0);
  F[Flag_N]:= (t and $80) = $80;
  F[Flag_C]:= (t and $100) = $100;  
  inc(cycles, 4);
end;</v>
      </c>
      <c r="D255" s="19" t="str">
        <f>IF(OpCode!B255="Y","(*U*)","(* *)")&amp;
" with OpCodes[$"&amp;OpCode!A255&amp;"] do begin" &amp;
" code:= @"&amp;A255&amp;";"&amp;
" inst:= '"&amp;OpCode!C255&amp;"';"&amp;
" fmt:= '"&amp;OpCode!C255&amp;IF(OpCode!D255&lt;&gt;"","'+#9+'"&amp;convertFormat(OpCode!D255),"")&amp;"'"&amp;";"&amp;
" group:= Egroup."&amp;OpCode!E255&amp;";"&amp;
" mode:= Emode."&amp;OpCode!F255&amp;";"&amp;
" len:= "&amp;OpCode!G255&amp;";"&amp;
" cycle:= ["&amp;SUBSTITUTE(OpCode!H255,"|",",")&amp;"];"&amp;
" end;"</f>
        <v>(* *) with OpCodes[$FD] do begin code:= @op_SBC_abs_idX; inst:= 'SBC'; fmt:= 'SBC'+#9+'$%.4x,X'; group:= Egroup.arith; mode:= Emode.abs_idx; len:= 3; cycle:= [4]; end;</v>
      </c>
    </row>
    <row r="256" spans="1:4" ht="78.75" x14ac:dyDescent="0.25">
      <c r="A256" s="18" t="str">
        <f>"op"&amp;"_"&amp;OpCode!C256&amp;ConvertFormat2(OpCode!D256)</f>
        <v>op_INC_abs_idX</v>
      </c>
      <c r="B256" s="19" t="str">
        <f t="shared" si="3"/>
        <v>procedure TCPU_6502.op_INC_abs_idX;</v>
      </c>
      <c r="C256" s="20" t="str">
        <f>$B256&amp;CHAR(10)&amp;ConvertCode(OpCode!K256,OpCode!I256,OpCode!H256,"")</f>
        <v>procedure TCPU_6502.op_INC_abs_idX;
var 
  t: iSize8;
  MA: iSize16;
  MV: iSize8;
  b1: iSize8;
  b2: iSize8;
begin
  b1:= ReadMem(PC);
  PC:= (PC+1) and $FFFF;
  b2:= ReadMem(PC);
  PC:= (PC+1) and $FFFF;
  MA:= ((b1 + b2 shl 8 + X) and $FFFF);
  MV:= ReadMem(MA);
  t:= MV + 1;
  WriteMem(MA, t and $FF);
  F[Flag_Z]:= (t = 0);
  F[Flag_N]:= (t and $80) = $80;
  inc(cycles, 7);
end;</v>
      </c>
      <c r="D256" s="19" t="str">
        <f>IF(OpCode!B256="Y","(*U*)","(* *)")&amp;
" with OpCodes[$"&amp;OpCode!A256&amp;"] do begin" &amp;
" code:= @"&amp;A256&amp;";"&amp;
" inst:= '"&amp;OpCode!C256&amp;"';"&amp;
" fmt:= '"&amp;OpCode!C256&amp;IF(OpCode!D256&lt;&gt;"","'+#9+'"&amp;convertFormat(OpCode!D256),"")&amp;"'"&amp;";"&amp;
" group:= Egroup."&amp;OpCode!E256&amp;";"&amp;
" mode:= Emode."&amp;OpCode!F256&amp;";"&amp;
" len:= "&amp;OpCode!G256&amp;";"&amp;
" cycle:= ["&amp;SUBSTITUTE(OpCode!H256,"|",",")&amp;"];"&amp;
" end;"</f>
        <v>(* *) with OpCodes[$FE] do begin code:= @op_INC_abs_idX; inst:= 'INC'; fmt:= 'INC'+#9+'$%.4x,X'; group:= Egroup.arith; mode:= Emode.abs_idx; len:= 3; cycle:= [7]; end;</v>
      </c>
    </row>
    <row r="257" spans="1:4" ht="78.75" x14ac:dyDescent="0.25">
      <c r="A257" s="18" t="str">
        <f>"op"&amp;"_"&amp;OpCode!C257&amp;ConvertFormat2(OpCode!D257)</f>
        <v>op_BBS7_dp,rel8</v>
      </c>
      <c r="B257" s="19" t="str">
        <f t="shared" si="3"/>
        <v>procedure TCPU_6502.op_BBS7_dp,rel8;</v>
      </c>
      <c r="C257" s="20" t="str">
        <f>$B257&amp;CHAR(10)&amp;ConvertCode(OpCode!K257,OpCode!I257,OpCode!H257,"")</f>
        <v>procedure TCPU_6502.op_BBS7_dp,rel8;
begin
  Branch on Bit Set. Tests a specific bit of a byte held on zero page and causes a branch of the bit is set (1);
  inc(cycles, 2|3);
end;</v>
      </c>
      <c r="D257" s="19" t="str">
        <f>IF(OpCode!B257="Y","(*U*)","(* *)")&amp;
" with OpCodes[$"&amp;OpCode!A257&amp;"] do begin" &amp;
" code:= @"&amp;A257&amp;";"&amp;
" inst:= '"&amp;OpCode!C257&amp;"';"&amp;
" fmt:= '"&amp;OpCode!C257&amp;IF(OpCode!D257&lt;&gt;"","'+#9+'"&amp;convertFormat(OpCode!D257),"")&amp;"'"&amp;";"&amp;
" group:= Egroup."&amp;OpCode!E257&amp;";"&amp;
" mode:= Emode."&amp;OpCode!F257&amp;";"&amp;
" len:= "&amp;OpCode!G257&amp;";"&amp;
" cycle:= ["&amp;SUBSTITUTE(OpCode!H257,"|",",")&amp;"];"&amp;
" end;"</f>
        <v>(* *) with OpCodes[$FF] do begin code:= @op_BBS7_dp,rel8; inst:= 'BBS7'; fmt:= 'BBS7'+#9+'$%.2x,%d'; group:= Egroup.branch; mode:= Emode.dp_rel; len:= 3; cycle:= [2,3]; end;</v>
      </c>
    </row>
  </sheetData>
  <autoFilter ref="A1:D257" xr:uid="{08D2EA26-3434-4361-B7EC-47C0C032187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Intro</vt:lpstr>
      <vt:lpstr>OpCode</vt:lpstr>
      <vt:lpstr>Table</vt:lpstr>
      <vt:lpstr>MD</vt:lpstr>
      <vt:lpstr>Pas</vt:lpstr>
      <vt:lpstr>OpCode!BBR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2021-02-27T17:20:54Z</dcterms:modified>
</cp:coreProperties>
</file>